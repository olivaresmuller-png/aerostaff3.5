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ufthansagroup-my.sharepoint.com/personal/cristian_olivares_swiss_com/Documents/Desktop/"/>
    </mc:Choice>
  </mc:AlternateContent>
  <xr:revisionPtr revIDLastSave="1368" documentId="8_{D3F068A6-27EC-4900-9B61-9CF71B3404E1}" xr6:coauthVersionLast="47" xr6:coauthVersionMax="47" xr10:uidLastSave="{B5CE46D2-5E5A-4D08-9FBF-3427E94987B9}"/>
  <bookViews>
    <workbookView xWindow="28680" yWindow="-720" windowWidth="29040" windowHeight="15720" xr2:uid="{1DB8714D-D6C6-4B6A-BE96-297968E08F04}"/>
  </bookViews>
  <sheets>
    <sheet name="Variante 2" sheetId="1" r:id="rId1"/>
    <sheet name="Sheet1" sheetId="2" r:id="rId2"/>
  </sheets>
  <definedNames>
    <definedName name="_xlnm.Print_Area" localSheetId="0">'Variante 2'!$A$1:$AE$91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1" l="1"/>
  <c r="V91" i="1"/>
  <c r="K91" i="1"/>
  <c r="J91" i="1"/>
  <c r="I91" i="1"/>
  <c r="H91" i="1"/>
  <c r="G91" i="1"/>
  <c r="F91" i="1"/>
  <c r="V90" i="1"/>
  <c r="G90" i="1"/>
  <c r="G89" i="1"/>
  <c r="K88" i="1"/>
  <c r="J88" i="1"/>
  <c r="I88" i="1"/>
  <c r="H88" i="1"/>
  <c r="G88" i="1"/>
  <c r="F88" i="1"/>
  <c r="D88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G92" i="1" s="1"/>
  <c r="F87" i="1"/>
</calcChain>
</file>

<file path=xl/sharedStrings.xml><?xml version="1.0" encoding="utf-8"?>
<sst xmlns="http://schemas.openxmlformats.org/spreadsheetml/2006/main" count="596" uniqueCount="198">
  <si>
    <t>SKILL LISTE TMBA</t>
  </si>
  <si>
    <t>Datum</t>
  </si>
  <si>
    <t>B1 / B2</t>
  </si>
  <si>
    <t>RR</t>
  </si>
  <si>
    <t>RUN UP</t>
  </si>
  <si>
    <t>BORO</t>
  </si>
  <si>
    <t>SPEZ</t>
  </si>
  <si>
    <t>Fan Blade</t>
  </si>
  <si>
    <t>A220</t>
  </si>
  <si>
    <t>A320</t>
  </si>
  <si>
    <t>A320NEO</t>
  </si>
  <si>
    <t>A330</t>
  </si>
  <si>
    <t>A343</t>
  </si>
  <si>
    <t>A350</t>
  </si>
  <si>
    <t>B777</t>
  </si>
  <si>
    <t>A32CFM</t>
  </si>
  <si>
    <t>A32PW</t>
  </si>
  <si>
    <t>A330RR</t>
  </si>
  <si>
    <t>A340</t>
  </si>
  <si>
    <t>FORKLIFT</t>
  </si>
  <si>
    <t>WALLIC.</t>
  </si>
  <si>
    <t>TANK EN.</t>
  </si>
  <si>
    <t>CYCLEAN</t>
  </si>
  <si>
    <t>COBRA</t>
  </si>
  <si>
    <t>Name</t>
  </si>
  <si>
    <t>3/4LC</t>
  </si>
  <si>
    <t>AIRCRAFT</t>
  </si>
  <si>
    <t>INFO</t>
  </si>
  <si>
    <t>CF/PW</t>
  </si>
  <si>
    <t>CS</t>
  </si>
  <si>
    <t>Thogersen Rune</t>
  </si>
  <si>
    <t>THRU</t>
  </si>
  <si>
    <t>B1/2</t>
  </si>
  <si>
    <t>B1/2/N</t>
  </si>
  <si>
    <t>X</t>
  </si>
  <si>
    <t>Meyer Melchior</t>
  </si>
  <si>
    <t>MELM</t>
  </si>
  <si>
    <t>PS</t>
  </si>
  <si>
    <t>B1</t>
  </si>
  <si>
    <t>B1/N</t>
  </si>
  <si>
    <r>
      <rPr>
        <sz val="13"/>
        <color rgb="FF000000"/>
        <rFont val="Aptos Narrow"/>
        <family val="2"/>
        <scheme val="minor"/>
      </rPr>
      <t xml:space="preserve">Calabrese Enzo </t>
    </r>
    <r>
      <rPr>
        <sz val="13"/>
        <color rgb="FFFF0000"/>
        <rFont val="Aptos Narrow"/>
        <family val="2"/>
        <scheme val="minor"/>
      </rPr>
      <t>(GAS)</t>
    </r>
  </si>
  <si>
    <t>YCCR</t>
  </si>
  <si>
    <t>SE</t>
  </si>
  <si>
    <r>
      <rPr>
        <sz val="13"/>
        <color rgb="FF000000"/>
        <rFont val="Aptos Narrow"/>
        <family val="2"/>
        <scheme val="minor"/>
      </rPr>
      <t xml:space="preserve">Simon Tim  </t>
    </r>
    <r>
      <rPr>
        <sz val="13"/>
        <color rgb="FFFF0000"/>
        <rFont val="Aptos Narrow"/>
        <family val="2"/>
        <scheme val="minor"/>
      </rPr>
      <t>(GAS)</t>
    </r>
  </si>
  <si>
    <t>TIMJ</t>
  </si>
  <si>
    <r>
      <rPr>
        <b/>
        <sz val="10"/>
        <color rgb="FF000000"/>
        <rFont val="Arial"/>
        <family val="2"/>
      </rPr>
      <t>B1/</t>
    </r>
    <r>
      <rPr>
        <b/>
        <sz val="10"/>
        <color rgb="FFFF0000"/>
        <rFont val="Arial"/>
        <family val="2"/>
      </rPr>
      <t>N</t>
    </r>
  </si>
  <si>
    <r>
      <rPr>
        <sz val="11"/>
        <color rgb="FF000000"/>
        <rFont val="Aptos Narrow"/>
        <family val="2"/>
        <scheme val="minor"/>
      </rPr>
      <t xml:space="preserve">Hubschmied Fabian </t>
    </r>
    <r>
      <rPr>
        <sz val="11"/>
        <color rgb="FFFF0000"/>
        <rFont val="Aptos Narrow"/>
        <family val="2"/>
        <scheme val="minor"/>
      </rPr>
      <t>(GAS)</t>
    </r>
  </si>
  <si>
    <t>HUAB</t>
  </si>
  <si>
    <t>Raschle Jan</t>
  </si>
  <si>
    <t>YYRJ</t>
  </si>
  <si>
    <t>GAS</t>
  </si>
  <si>
    <t>Mercurio Franco</t>
  </si>
  <si>
    <t>MECU</t>
  </si>
  <si>
    <t>Lechner Martin</t>
  </si>
  <si>
    <t>LECN</t>
  </si>
  <si>
    <t>Clerici Luca</t>
  </si>
  <si>
    <t>LCLE</t>
  </si>
  <si>
    <t>Ruzaj Arnaldo</t>
  </si>
  <si>
    <t>ARUZ</t>
  </si>
  <si>
    <t>Hudec Marek</t>
  </si>
  <si>
    <t>HUDM</t>
  </si>
  <si>
    <t>Eggenberger Lars</t>
  </si>
  <si>
    <t>EGGL</t>
  </si>
  <si>
    <t>A220 SYLABUS</t>
  </si>
  <si>
    <t>A</t>
  </si>
  <si>
    <t>Krenz Sarah</t>
  </si>
  <si>
    <t>KRZE</t>
  </si>
  <si>
    <t>A320 SYLABUS</t>
  </si>
  <si>
    <t>Siegle Luca</t>
  </si>
  <si>
    <t>LSIE</t>
  </si>
  <si>
    <t>Renault Andrea</t>
  </si>
  <si>
    <t>AAUL</t>
  </si>
  <si>
    <t>Winkler Yves Bjarne</t>
  </si>
  <si>
    <t>WINY</t>
  </si>
  <si>
    <t>A320/A330/B777</t>
  </si>
  <si>
    <t>Sommer Stefan</t>
  </si>
  <si>
    <t>SOER</t>
  </si>
  <si>
    <t>B2</t>
  </si>
  <si>
    <t>B2/N</t>
  </si>
  <si>
    <t>Zängerle Eric</t>
  </si>
  <si>
    <t>ERIZ</t>
  </si>
  <si>
    <t>Stettler Anton</t>
  </si>
  <si>
    <t>EX879513</t>
  </si>
  <si>
    <t>Bähler Michael</t>
  </si>
  <si>
    <t>BHAE</t>
  </si>
  <si>
    <r>
      <rPr>
        <sz val="13"/>
        <color rgb="FF000000"/>
        <rFont val="Aptos Narrow"/>
        <family val="2"/>
        <scheme val="minor"/>
      </rPr>
      <t xml:space="preserve">Müller Daniel </t>
    </r>
    <r>
      <rPr>
        <sz val="13"/>
        <color rgb="FFFF0000"/>
        <rFont val="Aptos Narrow"/>
        <family val="2"/>
        <scheme val="minor"/>
      </rPr>
      <t>(GAS)</t>
    </r>
  </si>
  <si>
    <t>DALL</t>
  </si>
  <si>
    <r>
      <rPr>
        <sz val="13"/>
        <color rgb="FF000000"/>
        <rFont val="Aptos Narrow"/>
        <family val="2"/>
        <scheme val="minor"/>
      </rPr>
      <t xml:space="preserve">Bruni Guido </t>
    </r>
    <r>
      <rPr>
        <sz val="13"/>
        <color rgb="FFFF0000"/>
        <rFont val="Aptos Narrow"/>
        <family val="2"/>
        <scheme val="minor"/>
      </rPr>
      <t>(GAS)</t>
    </r>
  </si>
  <si>
    <t>GBRU</t>
  </si>
  <si>
    <t>IDLE ONLY</t>
  </si>
  <si>
    <r>
      <rPr>
        <sz val="13"/>
        <color rgb="FF000000"/>
        <rFont val="Aptos Narrow"/>
        <family val="2"/>
        <scheme val="minor"/>
      </rPr>
      <t xml:space="preserve">Praia Da Souca Luis </t>
    </r>
    <r>
      <rPr>
        <sz val="13"/>
        <color rgb="FFFF0000"/>
        <rFont val="Aptos Narrow"/>
        <family val="2"/>
        <scheme val="minor"/>
      </rPr>
      <t>(GAS)</t>
    </r>
  </si>
  <si>
    <t>LUPR</t>
  </si>
  <si>
    <t>B1/2N</t>
  </si>
  <si>
    <t xml:space="preserve">Rindslibacher R. </t>
  </si>
  <si>
    <t>RREN</t>
  </si>
  <si>
    <t>Gantner Yanik</t>
  </si>
  <si>
    <t>GNET</t>
  </si>
  <si>
    <t>Borgo Davide</t>
  </si>
  <si>
    <t>BOGO</t>
  </si>
  <si>
    <t>Tokarczyk Matthias</t>
  </si>
  <si>
    <t>TOKR</t>
  </si>
  <si>
    <t>Guimaraes L. C. Mailtson</t>
  </si>
  <si>
    <t>COSM</t>
  </si>
  <si>
    <t xml:space="preserve">Ceramella Aaron </t>
  </si>
  <si>
    <t>YCEA</t>
  </si>
  <si>
    <t>Filipic Mario</t>
  </si>
  <si>
    <t>FILM</t>
  </si>
  <si>
    <t>Olsen Parma</t>
  </si>
  <si>
    <t>PAAO</t>
  </si>
  <si>
    <t>Loi Ruben</t>
  </si>
  <si>
    <t>RULO</t>
  </si>
  <si>
    <t>Pfeiffer Luca</t>
  </si>
  <si>
    <t>LUCP</t>
  </si>
  <si>
    <t>B777/SYLABUS</t>
  </si>
  <si>
    <t>Frey Remo</t>
  </si>
  <si>
    <t>REMF</t>
  </si>
  <si>
    <t>Natusch Mark</t>
  </si>
  <si>
    <t>NATS</t>
  </si>
  <si>
    <t>Zimmermann Marcus</t>
  </si>
  <si>
    <t>MZIM</t>
  </si>
  <si>
    <t>Müller Tim</t>
  </si>
  <si>
    <t>TIML</t>
  </si>
  <si>
    <t>A330/PTT</t>
  </si>
  <si>
    <t>Olivares Cristian</t>
  </si>
  <si>
    <t>OLCR</t>
  </si>
  <si>
    <r>
      <rPr>
        <sz val="13"/>
        <color rgb="FF000000"/>
        <rFont val="Aptos Narrow"/>
        <family val="2"/>
      </rPr>
      <t xml:space="preserve">Fountain Richard </t>
    </r>
    <r>
      <rPr>
        <sz val="12"/>
        <color rgb="FFFF0000"/>
        <rFont val="Aptos Narrow"/>
        <family val="2"/>
      </rPr>
      <t>(GAS)</t>
    </r>
  </si>
  <si>
    <t>WEZE</t>
  </si>
  <si>
    <r>
      <rPr>
        <sz val="13"/>
        <color rgb="FF000000"/>
        <rFont val="Aptos Narrow"/>
        <family val="2"/>
        <scheme val="minor"/>
      </rPr>
      <t xml:space="preserve">Schaefer Jan </t>
    </r>
    <r>
      <rPr>
        <sz val="13"/>
        <color rgb="FFFF0000"/>
        <rFont val="Aptos Narrow"/>
        <family val="2"/>
        <scheme val="minor"/>
      </rPr>
      <t>(GAS)</t>
    </r>
  </si>
  <si>
    <t>JAWE</t>
  </si>
  <si>
    <r>
      <rPr>
        <sz val="13"/>
        <color rgb="FF000000"/>
        <rFont val="Aptos Narrow"/>
        <family val="2"/>
        <scheme val="minor"/>
      </rPr>
      <t xml:space="preserve">Keller Raphael </t>
    </r>
    <r>
      <rPr>
        <sz val="13"/>
        <color rgb="FFFF0000"/>
        <rFont val="Aptos Narrow"/>
        <family val="2"/>
        <scheme val="minor"/>
      </rPr>
      <t>(GAS)</t>
    </r>
  </si>
  <si>
    <t>KRAF</t>
  </si>
  <si>
    <t>Ackermann Rudolf B.</t>
  </si>
  <si>
    <t>RUAC</t>
  </si>
  <si>
    <t>Saredi Stefano</t>
  </si>
  <si>
    <t>SAEF</t>
  </si>
  <si>
    <t>Labiad Abdessamad</t>
  </si>
  <si>
    <t>LABB</t>
  </si>
  <si>
    <t>Rainolo Pasquale</t>
  </si>
  <si>
    <t>RPAS</t>
  </si>
  <si>
    <t>Rosa Blasco Dario</t>
  </si>
  <si>
    <t>RDAR</t>
  </si>
  <si>
    <t>Leimbacher Enrico</t>
  </si>
  <si>
    <t>ENRL</t>
  </si>
  <si>
    <t>Gislason Arnor Freyr</t>
  </si>
  <si>
    <t>ARNG</t>
  </si>
  <si>
    <t>Da Costa Paes Marcos</t>
  </si>
  <si>
    <t>MCOS</t>
  </si>
  <si>
    <t>Thalmann Nando</t>
  </si>
  <si>
    <t>THNA</t>
  </si>
  <si>
    <t>Patino Martinez Aldo Damian</t>
  </si>
  <si>
    <t>DMIA</t>
  </si>
  <si>
    <t>Görber Justin</t>
  </si>
  <si>
    <t>JUTI</t>
  </si>
  <si>
    <t>Bonomo Diego</t>
  </si>
  <si>
    <t>DGB</t>
  </si>
  <si>
    <t>Generalli Roberto</t>
  </si>
  <si>
    <t>GERO</t>
  </si>
  <si>
    <t>Urben Marcel</t>
  </si>
  <si>
    <t>MURB</t>
  </si>
  <si>
    <t>Alevrofas Aaron</t>
  </si>
  <si>
    <t>ALAA</t>
  </si>
  <si>
    <t>Schwarz Lou</t>
  </si>
  <si>
    <t>LOUC</t>
  </si>
  <si>
    <t>Flückiger Leon</t>
  </si>
  <si>
    <t>FLKI</t>
  </si>
  <si>
    <t>Sidler Jonas</t>
  </si>
  <si>
    <t>SDLE</t>
  </si>
  <si>
    <t>Fuchs Yarin</t>
  </si>
  <si>
    <t>FYAR</t>
  </si>
  <si>
    <t>Grolimund Niels</t>
  </si>
  <si>
    <t>NSIM</t>
  </si>
  <si>
    <t>Gygax Justin</t>
  </si>
  <si>
    <t>JUSG</t>
  </si>
  <si>
    <t>Grüter Leon</t>
  </si>
  <si>
    <t>GRLE</t>
  </si>
  <si>
    <t>Flury Simon</t>
  </si>
  <si>
    <t>FLUI</t>
  </si>
  <si>
    <t>Kläusli Mischa</t>
  </si>
  <si>
    <t>KMIS</t>
  </si>
  <si>
    <t>Gmünder Silvan</t>
  </si>
  <si>
    <t>GMDE</t>
  </si>
  <si>
    <t>Kaddani Rayan</t>
  </si>
  <si>
    <t>KAAY</t>
  </si>
  <si>
    <t>TOTAL AVAIL</t>
  </si>
  <si>
    <t>TOTAL FTE</t>
  </si>
  <si>
    <t>B1 N</t>
  </si>
  <si>
    <t>Revision:</t>
  </si>
  <si>
    <t>B2 N</t>
  </si>
  <si>
    <t>B1/2 N</t>
  </si>
  <si>
    <t xml:space="preserve">Calabrese Enzo </t>
  </si>
  <si>
    <t xml:space="preserve">Simon Tim  </t>
  </si>
  <si>
    <t xml:space="preserve">Hubschmied Fabian </t>
  </si>
  <si>
    <t xml:space="preserve">Müller Daniel </t>
  </si>
  <si>
    <t xml:space="preserve">Bruni Guido </t>
  </si>
  <si>
    <t xml:space="preserve">Praia Da Souca Luis </t>
  </si>
  <si>
    <t xml:space="preserve">Fountain Richard </t>
  </si>
  <si>
    <t xml:space="preserve">Schaefer Jan </t>
  </si>
  <si>
    <t xml:space="preserve">Keller Raphael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</si>
</sst>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[$-409]d\-mmm\-yy;@"/>
    <numFmt numFmtId="166" formatCode="h:mm;@"/>
  </numFmts>
  <fonts count="7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9"/>
      <name val="Calibri"/>
      <family val="2"/>
    </font>
    <font>
      <b/>
      <sz val="12"/>
      <color indexed="9"/>
      <name val="Arial"/>
      <family val="2"/>
    </font>
    <font>
      <sz val="18"/>
      <name val="Aptos Narrow"/>
      <family val="2"/>
      <scheme val="minor"/>
    </font>
    <font>
      <sz val="2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name val="Aptos Narrow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b/>
      <sz val="11"/>
      <name val="Aptos Narrow"/>
      <family val="2"/>
      <scheme val="minor"/>
    </font>
    <font>
      <sz val="8.5"/>
      <name val="Arial"/>
      <family val="2"/>
    </font>
    <font>
      <b/>
      <sz val="11"/>
      <name val="Arial"/>
      <family val="2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rial"/>
      <family val="2"/>
    </font>
    <font>
      <sz val="13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rgb="FF000000"/>
      <name val="Arial"/>
      <family val="2"/>
    </font>
    <font>
      <b/>
      <sz val="12"/>
      <color theme="2" tint="-0.249977111117893"/>
      <name val="Arial"/>
      <family val="2"/>
    </font>
    <font>
      <sz val="10"/>
      <color theme="2" tint="-0.499984740745262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2"/>
      <color theme="2" tint="-0.499984740745262"/>
      <name val="Arial"/>
      <family val="2"/>
    </font>
    <font>
      <sz val="14"/>
      <color theme="2" tint="-0.499984740745262"/>
      <name val="Aptos Narrow"/>
      <family val="2"/>
      <scheme val="minor"/>
    </font>
    <font>
      <b/>
      <sz val="10"/>
      <color rgb="FFFF0000"/>
      <name val="Arial"/>
      <family val="2"/>
    </font>
    <font>
      <b/>
      <sz val="11"/>
      <color rgb="FF0070C0"/>
      <name val="Arial"/>
      <family val="2"/>
    </font>
    <font>
      <sz val="11"/>
      <color rgb="FF000000"/>
      <name val="Arial"/>
      <family val="2"/>
    </font>
    <font>
      <b/>
      <sz val="11"/>
      <color theme="0" tint="-0.249977111117893"/>
      <name val="Arial"/>
      <family val="2"/>
    </font>
    <font>
      <b/>
      <sz val="11"/>
      <color theme="4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sz val="8.5"/>
      <color theme="2" tint="-0.499984740745262"/>
      <name val="Arial"/>
      <family val="2"/>
    </font>
    <font>
      <b/>
      <sz val="10"/>
      <color rgb="FF000000"/>
      <name val="Arial"/>
      <family val="2"/>
    </font>
    <font>
      <sz val="12"/>
      <name val="Aptos Narrow"/>
      <family val="2"/>
      <scheme val="minor"/>
    </font>
    <font>
      <b/>
      <sz val="9"/>
      <color rgb="FFFF0000"/>
      <name val="Arial"/>
      <family val="2"/>
    </font>
    <font>
      <b/>
      <sz val="8"/>
      <color rgb="FF000000"/>
      <name val="Arial"/>
      <family val="2"/>
    </font>
    <font>
      <sz val="12"/>
      <color rgb="FFFF0000"/>
      <name val="Arial"/>
      <family val="2"/>
    </font>
    <font>
      <b/>
      <sz val="9"/>
      <color theme="1"/>
      <name val="Arial"/>
      <family val="2"/>
    </font>
    <font>
      <sz val="11"/>
      <color theme="0" tint="-0.34998626667073579"/>
      <name val="Arial"/>
      <family val="2"/>
    </font>
    <font>
      <sz val="9"/>
      <name val="Arial"/>
      <family val="2"/>
    </font>
    <font>
      <b/>
      <sz val="11"/>
      <color rgb="FFFF000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3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3"/>
      <name val="Aptos Narrow"/>
      <family val="2"/>
      <scheme val="minor"/>
    </font>
    <font>
      <sz val="8"/>
      <color theme="2" tint="-0.499984740745262"/>
      <name val="Arial"/>
      <family val="2"/>
    </font>
    <font>
      <sz val="10"/>
      <color theme="2" tint="-0.499984740745262"/>
      <name val="Aptos Narrow"/>
      <family val="2"/>
      <scheme val="minor"/>
    </font>
    <font>
      <sz val="9"/>
      <color theme="2" tint="-0.499984740745262"/>
      <name val="Arial"/>
      <family val="2"/>
    </font>
    <font>
      <sz val="13"/>
      <color rgb="FF000000"/>
      <name val="Aptos Narrow"/>
      <family val="2"/>
      <scheme val="minor"/>
    </font>
    <font>
      <sz val="13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sz val="12"/>
      <color rgb="FFFF0000"/>
      <name val="Arial"/>
      <family val="2"/>
    </font>
    <font>
      <b/>
      <sz val="11"/>
      <color rgb="FFC00000"/>
      <name val="Arial"/>
      <family val="2"/>
    </font>
    <font>
      <sz val="9"/>
      <name val="Aptos Narrow"/>
      <family val="2"/>
      <scheme val="minor"/>
    </font>
    <font>
      <sz val="13"/>
      <color rgb="FF000000"/>
      <name val="Aptos Narrow"/>
      <family val="2"/>
    </font>
    <font>
      <sz val="12"/>
      <color rgb="FFFF0000"/>
      <name val="Aptos Narrow"/>
      <family val="2"/>
    </font>
    <font>
      <sz val="13"/>
      <name val="Aptos Narrow"/>
      <family val="2"/>
    </font>
    <font>
      <sz val="9"/>
      <color theme="2" tint="-0.499984740745262"/>
      <name val="Aptos Narrow"/>
      <family val="2"/>
      <scheme val="minor"/>
    </font>
    <font>
      <b/>
      <sz val="10"/>
      <name val="Arial"/>
      <family val="2"/>
    </font>
    <font>
      <b/>
      <sz val="11"/>
      <color rgb="FF000000"/>
      <name val="Arial"/>
      <family val="2"/>
    </font>
    <font>
      <b/>
      <sz val="11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6F18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AE6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F9D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1FBC5"/>
        <bgColor indexed="64"/>
      </patternFill>
    </fill>
    <fill>
      <patternFill patternType="lightUp"/>
    </fill>
    <fill>
      <patternFill patternType="solid">
        <fgColor theme="2" tint="-9.9978637043366805E-2"/>
        <bgColor indexed="64"/>
      </patternFill>
    </fill>
    <fill>
      <patternFill patternType="solid">
        <fgColor rgb="FFD1FBC5"/>
        <bgColor rgb="FF000000"/>
      </patternFill>
    </fill>
    <fill>
      <patternFill patternType="solid">
        <fgColor theme="3" tint="0.749992370372631"/>
        <bgColor indexed="64"/>
      </patternFill>
    </fill>
  </fills>
  <borders count="150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ck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rgb="FF000000"/>
      </top>
      <bottom style="thin">
        <color indexed="64"/>
      </bottom>
      <diagonal/>
    </border>
    <border>
      <left style="thick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ck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auto="1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2" fillId="0" borderId="0"/>
  </cellStyleXfs>
  <cellXfs count="606">
    <xf numFmtId="0" fontId="0" fillId="0" borderId="0" xfId="0"/>
    <xf numFmtId="0" fontId="2" fillId="0" borderId="0" xfId="2"/>
    <xf numFmtId="0" fontId="6" fillId="0" borderId="5" xfId="2" applyFont="1" applyBorder="1" applyAlignment="1">
      <alignment horizontal="left" vertical="center"/>
    </xf>
    <xf numFmtId="0" fontId="9" fillId="4" borderId="11" xfId="2" applyFont="1" applyFill="1" applyBorder="1" applyAlignment="1">
      <alignment horizontal="center" vertical="center"/>
    </xf>
    <xf numFmtId="0" fontId="10" fillId="0" borderId="5" xfId="2" applyFont="1" applyBorder="1"/>
    <xf numFmtId="0" fontId="11" fillId="0" borderId="10" xfId="2" applyFont="1" applyBorder="1"/>
    <xf numFmtId="0" fontId="11" fillId="0" borderId="6" xfId="2" applyFont="1" applyBorder="1"/>
    <xf numFmtId="0" fontId="11" fillId="0" borderId="13" xfId="2" applyFont="1" applyBorder="1"/>
    <xf numFmtId="0" fontId="12" fillId="3" borderId="9" xfId="2" applyFont="1" applyFill="1" applyBorder="1" applyAlignment="1">
      <alignment horizontal="center" vertical="center"/>
    </xf>
    <xf numFmtId="0" fontId="12" fillId="3" borderId="10" xfId="2" applyFont="1" applyFill="1" applyBorder="1" applyAlignment="1">
      <alignment horizontal="center" vertical="center"/>
    </xf>
    <xf numFmtId="0" fontId="12" fillId="3" borderId="6" xfId="2" applyFont="1" applyFill="1" applyBorder="1" applyAlignment="1">
      <alignment horizontal="center" vertical="center"/>
    </xf>
    <xf numFmtId="0" fontId="15" fillId="8" borderId="19" xfId="2" applyFont="1" applyFill="1" applyBorder="1" applyAlignment="1">
      <alignment horizontal="left" vertical="center"/>
    </xf>
    <xf numFmtId="0" fontId="15" fillId="8" borderId="20" xfId="2" applyFont="1" applyFill="1" applyBorder="1" applyAlignment="1">
      <alignment horizontal="center" vertical="center"/>
    </xf>
    <xf numFmtId="0" fontId="15" fillId="0" borderId="20" xfId="2" applyFont="1" applyBorder="1" applyAlignment="1">
      <alignment horizontal="center" vertical="center"/>
    </xf>
    <xf numFmtId="0" fontId="15" fillId="0" borderId="21" xfId="2" applyFont="1" applyBorder="1" applyAlignment="1">
      <alignment horizontal="center" vertical="center"/>
    </xf>
    <xf numFmtId="0" fontId="15" fillId="0" borderId="22" xfId="2" applyFont="1" applyBorder="1" applyAlignment="1">
      <alignment horizontal="center" vertical="center"/>
    </xf>
    <xf numFmtId="0" fontId="16" fillId="3" borderId="23" xfId="2" applyFont="1" applyFill="1" applyBorder="1" applyAlignment="1">
      <alignment horizontal="center"/>
    </xf>
    <xf numFmtId="0" fontId="17" fillId="3" borderId="20" xfId="2" applyFont="1" applyFill="1" applyBorder="1" applyAlignment="1">
      <alignment horizontal="center" textRotation="90"/>
    </xf>
    <xf numFmtId="0" fontId="17" fillId="3" borderId="20" xfId="2" applyFont="1" applyFill="1" applyBorder="1" applyAlignment="1">
      <alignment horizontal="center" vertical="center" textRotation="90"/>
    </xf>
    <xf numFmtId="0" fontId="16" fillId="3" borderId="20" xfId="2" applyFont="1" applyFill="1" applyBorder="1" applyAlignment="1">
      <alignment horizontal="center"/>
    </xf>
    <xf numFmtId="0" fontId="16" fillId="3" borderId="21" xfId="2" applyFont="1" applyFill="1" applyBorder="1" applyAlignment="1">
      <alignment horizontal="center"/>
    </xf>
    <xf numFmtId="0" fontId="20" fillId="0" borderId="30" xfId="2" applyFont="1" applyBorder="1" applyAlignment="1">
      <alignment horizontal="center" vertical="center"/>
    </xf>
    <xf numFmtId="0" fontId="16" fillId="0" borderId="31" xfId="2" applyFont="1" applyBorder="1" applyAlignment="1">
      <alignment horizontal="center" vertical="center"/>
    </xf>
    <xf numFmtId="0" fontId="16" fillId="0" borderId="32" xfId="2" applyFont="1" applyBorder="1" applyAlignment="1">
      <alignment horizontal="center" vertical="center"/>
    </xf>
    <xf numFmtId="0" fontId="10" fillId="0" borderId="33" xfId="2" applyFont="1" applyBorder="1" applyAlignment="1">
      <alignment horizontal="center" vertical="center"/>
    </xf>
    <xf numFmtId="0" fontId="10" fillId="0" borderId="34" xfId="2" applyFont="1" applyBorder="1" applyAlignment="1">
      <alignment horizontal="center" vertical="center"/>
    </xf>
    <xf numFmtId="0" fontId="10" fillId="0" borderId="35" xfId="2" applyFont="1" applyBorder="1" applyAlignment="1">
      <alignment horizontal="center" vertical="center"/>
    </xf>
    <xf numFmtId="0" fontId="10" fillId="10" borderId="34" xfId="2" applyFont="1" applyFill="1" applyBorder="1" applyAlignment="1">
      <alignment horizontal="center" vertical="center"/>
    </xf>
    <xf numFmtId="0" fontId="10" fillId="10" borderId="35" xfId="2" applyFont="1" applyFill="1" applyBorder="1" applyAlignment="1">
      <alignment horizontal="center" vertical="center"/>
    </xf>
    <xf numFmtId="0" fontId="10" fillId="0" borderId="37" xfId="2" applyFont="1" applyBorder="1" applyAlignment="1">
      <alignment horizontal="center" vertical="center"/>
    </xf>
    <xf numFmtId="0" fontId="10" fillId="10" borderId="33" xfId="2" applyFont="1" applyFill="1" applyBorder="1" applyAlignment="1">
      <alignment horizontal="center" vertical="center"/>
    </xf>
    <xf numFmtId="0" fontId="10" fillId="0" borderId="38" xfId="2" applyFont="1" applyBorder="1" applyAlignment="1">
      <alignment horizontal="center" vertical="center"/>
    </xf>
    <xf numFmtId="0" fontId="10" fillId="0" borderId="39" xfId="2" applyFont="1" applyBorder="1" applyAlignment="1">
      <alignment horizontal="center" vertical="center"/>
    </xf>
    <xf numFmtId="0" fontId="10" fillId="11" borderId="33" xfId="2" applyFont="1" applyFill="1" applyBorder="1" applyAlignment="1">
      <alignment horizontal="center" vertical="center"/>
    </xf>
    <xf numFmtId="0" fontId="10" fillId="0" borderId="30" xfId="2" applyFont="1" applyBorder="1" applyAlignment="1">
      <alignment horizontal="center" vertical="center"/>
    </xf>
    <xf numFmtId="0" fontId="10" fillId="11" borderId="0" xfId="2" applyFont="1" applyFill="1" applyAlignment="1">
      <alignment horizontal="center" vertical="center"/>
    </xf>
    <xf numFmtId="0" fontId="10" fillId="0" borderId="40" xfId="2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10" borderId="43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11" borderId="43" xfId="0" applyFont="1" applyFill="1" applyBorder="1" applyAlignment="1">
      <alignment horizontal="center" vertical="center"/>
    </xf>
    <xf numFmtId="0" fontId="10" fillId="11" borderId="4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24" fillId="14" borderId="6" xfId="0" applyFont="1" applyFill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11" borderId="10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10" borderId="1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10" borderId="9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11" borderId="9" xfId="0" applyFont="1" applyFill="1" applyBorder="1" applyAlignment="1">
      <alignment horizontal="center" vertical="center"/>
    </xf>
    <xf numFmtId="0" fontId="17" fillId="11" borderId="7" xfId="0" applyFont="1" applyFill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12" fillId="11" borderId="16" xfId="0" applyFont="1" applyFill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23" fillId="14" borderId="16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9" fontId="29" fillId="14" borderId="50" xfId="0" applyNumberFormat="1" applyFont="1" applyFill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11" borderId="48" xfId="0" applyFont="1" applyFill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10" borderId="16" xfId="0" applyFont="1" applyFill="1" applyBorder="1" applyAlignment="1">
      <alignment horizontal="center" vertical="center"/>
    </xf>
    <xf numFmtId="0" fontId="17" fillId="10" borderId="48" xfId="0" applyFont="1" applyFill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7" fillId="10" borderId="51" xfId="0" applyFont="1" applyFill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11" borderId="51" xfId="0" applyFont="1" applyFill="1" applyBorder="1" applyAlignment="1">
      <alignment horizontal="center" vertical="center"/>
    </xf>
    <xf numFmtId="0" fontId="17" fillId="11" borderId="54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2" fillId="14" borderId="0" xfId="2" applyFill="1"/>
    <xf numFmtId="0" fontId="21" fillId="15" borderId="46" xfId="0" applyFont="1" applyFill="1" applyBorder="1" applyAlignment="1">
      <alignment horizontal="left" vertical="center"/>
    </xf>
    <xf numFmtId="0" fontId="24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15" borderId="55" xfId="0" applyFont="1" applyFill="1" applyBorder="1" applyAlignment="1">
      <alignment horizontal="left" vertical="center"/>
    </xf>
    <xf numFmtId="0" fontId="22" fillId="0" borderId="16" xfId="0" applyFont="1" applyBorder="1" applyAlignment="1">
      <alignment horizontal="center" vertical="center"/>
    </xf>
    <xf numFmtId="0" fontId="17" fillId="14" borderId="16" xfId="0" applyFont="1" applyFill="1" applyBorder="1" applyAlignment="1">
      <alignment horizontal="center" vertical="center"/>
    </xf>
    <xf numFmtId="9" fontId="28" fillId="0" borderId="50" xfId="0" applyNumberFormat="1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17" fillId="14" borderId="10" xfId="0" applyFont="1" applyFill="1" applyBorder="1" applyAlignment="1">
      <alignment horizontal="center" vertical="center"/>
    </xf>
    <xf numFmtId="9" fontId="28" fillId="0" borderId="13" xfId="0" applyNumberFormat="1" applyFont="1" applyBorder="1" applyAlignment="1">
      <alignment horizontal="center" vertical="center"/>
    </xf>
    <xf numFmtId="0" fontId="30" fillId="11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32" fillId="14" borderId="16" xfId="0" applyFont="1" applyFill="1" applyBorder="1" applyAlignment="1">
      <alignment horizontal="center" vertical="center"/>
    </xf>
    <xf numFmtId="9" fontId="24" fillId="14" borderId="48" xfId="0" applyNumberFormat="1" applyFont="1" applyFill="1" applyBorder="1" applyAlignment="1">
      <alignment horizontal="center" vertical="center"/>
    </xf>
    <xf numFmtId="0" fontId="28" fillId="14" borderId="50" xfId="0" applyFont="1" applyFill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9" fontId="29" fillId="0" borderId="13" xfId="0" applyNumberFormat="1" applyFont="1" applyBorder="1" applyAlignment="1">
      <alignment horizontal="center" vertical="center"/>
    </xf>
    <xf numFmtId="0" fontId="30" fillId="11" borderId="6" xfId="0" applyFont="1" applyFill="1" applyBorder="1" applyAlignment="1">
      <alignment horizontal="center" vertical="center"/>
    </xf>
    <xf numFmtId="9" fontId="25" fillId="0" borderId="13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34" fillId="11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26" fillId="10" borderId="10" xfId="0" applyFont="1" applyFill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0" fontId="12" fillId="14" borderId="51" xfId="0" applyFont="1" applyFill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11" borderId="57" xfId="0" applyFont="1" applyFill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  <xf numFmtId="0" fontId="37" fillId="0" borderId="50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38" fillId="11" borderId="48" xfId="0" applyFont="1" applyFill="1" applyBorder="1" applyAlignment="1">
      <alignment horizontal="center" vertical="center"/>
    </xf>
    <xf numFmtId="0" fontId="31" fillId="11" borderId="51" xfId="0" applyFont="1" applyFill="1" applyBorder="1" applyAlignment="1">
      <alignment horizontal="center" vertical="center"/>
    </xf>
    <xf numFmtId="0" fontId="12" fillId="16" borderId="9" xfId="0" applyFont="1" applyFill="1" applyBorder="1" applyAlignment="1">
      <alignment horizontal="center" vertical="center"/>
    </xf>
    <xf numFmtId="0" fontId="12" fillId="16" borderId="10" xfId="0" applyFont="1" applyFill="1" applyBorder="1" applyAlignment="1">
      <alignment horizontal="center" vertical="center"/>
    </xf>
    <xf numFmtId="0" fontId="12" fillId="16" borderId="6" xfId="0" applyFont="1" applyFill="1" applyBorder="1" applyAlignment="1">
      <alignment horizontal="center" vertical="center"/>
    </xf>
    <xf numFmtId="0" fontId="17" fillId="16" borderId="11" xfId="0" applyFont="1" applyFill="1" applyBorder="1" applyAlignment="1">
      <alignment horizontal="center" vertical="center"/>
    </xf>
    <xf numFmtId="0" fontId="17" fillId="16" borderId="9" xfId="0" applyFont="1" applyFill="1" applyBorder="1" applyAlignment="1">
      <alignment horizontal="center" vertical="center"/>
    </xf>
    <xf numFmtId="0" fontId="17" fillId="16" borderId="10" xfId="0" applyFont="1" applyFill="1" applyBorder="1" applyAlignment="1">
      <alignment horizontal="center" vertical="center"/>
    </xf>
    <xf numFmtId="0" fontId="17" fillId="16" borderId="6" xfId="0" applyFont="1" applyFill="1" applyBorder="1" applyAlignment="1">
      <alignment horizontal="center" vertical="center"/>
    </xf>
    <xf numFmtId="0" fontId="17" fillId="16" borderId="12" xfId="0" applyFont="1" applyFill="1" applyBorder="1" applyAlignment="1">
      <alignment horizontal="center" vertical="center"/>
    </xf>
    <xf numFmtId="0" fontId="17" fillId="16" borderId="13" xfId="0" applyFont="1" applyFill="1" applyBorder="1" applyAlignment="1">
      <alignment horizontal="center" vertical="center"/>
    </xf>
    <xf numFmtId="0" fontId="17" fillId="16" borderId="7" xfId="0" applyFont="1" applyFill="1" applyBorder="1" applyAlignment="1">
      <alignment horizontal="center" vertical="center"/>
    </xf>
    <xf numFmtId="0" fontId="17" fillId="16" borderId="47" xfId="0" applyFont="1" applyFill="1" applyBorder="1" applyAlignment="1">
      <alignment horizontal="center" vertical="center"/>
    </xf>
    <xf numFmtId="9" fontId="29" fillId="0" borderId="50" xfId="0" applyNumberFormat="1" applyFont="1" applyBorder="1" applyAlignment="1">
      <alignment horizontal="center" vertical="center"/>
    </xf>
    <xf numFmtId="0" fontId="12" fillId="16" borderId="16" xfId="0" applyFont="1" applyFill="1" applyBorder="1" applyAlignment="1">
      <alignment horizontal="center" vertical="center"/>
    </xf>
    <xf numFmtId="0" fontId="12" fillId="16" borderId="48" xfId="0" applyFont="1" applyFill="1" applyBorder="1" applyAlignment="1">
      <alignment horizontal="center" vertical="center"/>
    </xf>
    <xf numFmtId="0" fontId="17" fillId="16" borderId="53" xfId="0" applyFont="1" applyFill="1" applyBorder="1" applyAlignment="1">
      <alignment horizontal="center" vertical="center"/>
    </xf>
    <xf numFmtId="0" fontId="17" fillId="16" borderId="51" xfId="0" applyFont="1" applyFill="1" applyBorder="1" applyAlignment="1">
      <alignment horizontal="center" vertical="center"/>
    </xf>
    <xf numFmtId="0" fontId="17" fillId="16" borderId="16" xfId="0" applyFont="1" applyFill="1" applyBorder="1" applyAlignment="1">
      <alignment horizontal="center" vertical="center"/>
    </xf>
    <xf numFmtId="0" fontId="23" fillId="14" borderId="60" xfId="0" applyFont="1" applyFill="1" applyBorder="1" applyAlignment="1">
      <alignment horizontal="center" vertical="center"/>
    </xf>
    <xf numFmtId="0" fontId="37" fillId="0" borderId="62" xfId="0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12" fillId="11" borderId="60" xfId="0" applyFont="1" applyFill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0" fontId="12" fillId="0" borderId="61" xfId="0" applyFont="1" applyBorder="1" applyAlignment="1">
      <alignment horizontal="center" vertical="center"/>
    </xf>
    <xf numFmtId="0" fontId="12" fillId="11" borderId="61" xfId="0" applyFont="1" applyFill="1" applyBorder="1" applyAlignment="1">
      <alignment horizontal="center" vertical="center"/>
    </xf>
    <xf numFmtId="0" fontId="17" fillId="0" borderId="64" xfId="0" applyFont="1" applyBorder="1" applyAlignment="1">
      <alignment horizontal="center" vertical="center"/>
    </xf>
    <xf numFmtId="0" fontId="17" fillId="0" borderId="63" xfId="0" applyFont="1" applyBorder="1" applyAlignment="1">
      <alignment horizontal="center" vertical="center"/>
    </xf>
    <xf numFmtId="0" fontId="17" fillId="10" borderId="60" xfId="0" applyFont="1" applyFill="1" applyBorder="1" applyAlignment="1">
      <alignment horizontal="center" vertical="center"/>
    </xf>
    <xf numFmtId="0" fontId="17" fillId="0" borderId="60" xfId="0" applyFont="1" applyBorder="1" applyAlignment="1">
      <alignment horizontal="center" vertical="center"/>
    </xf>
    <xf numFmtId="0" fontId="17" fillId="10" borderId="61" xfId="0" applyFont="1" applyFill="1" applyBorder="1" applyAlignment="1">
      <alignment horizontal="center" vertical="center"/>
    </xf>
    <xf numFmtId="0" fontId="17" fillId="0" borderId="61" xfId="0" applyFont="1" applyBorder="1" applyAlignment="1">
      <alignment horizontal="center" vertical="center"/>
    </xf>
    <xf numFmtId="0" fontId="17" fillId="0" borderId="65" xfId="0" applyFont="1" applyBorder="1" applyAlignment="1">
      <alignment horizontal="center" vertical="center"/>
    </xf>
    <xf numFmtId="0" fontId="17" fillId="10" borderId="63" xfId="0" applyFont="1" applyFill="1" applyBorder="1" applyAlignment="1">
      <alignment horizontal="center" vertical="center"/>
    </xf>
    <xf numFmtId="0" fontId="17" fillId="0" borderId="62" xfId="0" applyFont="1" applyBorder="1" applyAlignment="1">
      <alignment horizontal="center" vertical="center"/>
    </xf>
    <xf numFmtId="0" fontId="17" fillId="11" borderId="66" xfId="0" applyFont="1" applyFill="1" applyBorder="1" applyAlignment="1">
      <alignment horizontal="center" vertical="center"/>
    </xf>
    <xf numFmtId="0" fontId="17" fillId="0" borderId="67" xfId="0" applyFont="1" applyBorder="1" applyAlignment="1">
      <alignment horizontal="center" vertical="center"/>
    </xf>
    <xf numFmtId="0" fontId="17" fillId="11" borderId="68" xfId="0" applyFont="1" applyFill="1" applyBorder="1" applyAlignment="1">
      <alignment horizontal="center" vertical="center"/>
    </xf>
    <xf numFmtId="0" fontId="17" fillId="0" borderId="69" xfId="0" applyFont="1" applyBorder="1" applyAlignment="1">
      <alignment horizontal="center" vertical="center"/>
    </xf>
    <xf numFmtId="0" fontId="23" fillId="0" borderId="60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17" fillId="11" borderId="63" xfId="0" applyFont="1" applyFill="1" applyBorder="1" applyAlignment="1">
      <alignment horizontal="center" vertical="center"/>
    </xf>
    <xf numFmtId="0" fontId="35" fillId="0" borderId="60" xfId="0" applyFont="1" applyBorder="1" applyAlignment="1">
      <alignment horizontal="center" vertical="center"/>
    </xf>
    <xf numFmtId="0" fontId="17" fillId="0" borderId="70" xfId="0" applyFont="1" applyBorder="1" applyAlignment="1">
      <alignment horizontal="center" vertical="center"/>
    </xf>
    <xf numFmtId="0" fontId="17" fillId="14" borderId="72" xfId="0" applyFont="1" applyFill="1" applyBorder="1" applyAlignment="1">
      <alignment horizontal="center" vertical="center"/>
    </xf>
    <xf numFmtId="0" fontId="38" fillId="0" borderId="74" xfId="0" applyFont="1" applyBorder="1" applyAlignment="1">
      <alignment horizontal="center" vertical="center"/>
    </xf>
    <xf numFmtId="0" fontId="12" fillId="11" borderId="72" xfId="0" applyFont="1" applyFill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/>
    </xf>
    <xf numFmtId="0" fontId="17" fillId="10" borderId="72" xfId="0" applyFont="1" applyFill="1" applyBorder="1" applyAlignment="1">
      <alignment horizontal="center" vertical="center"/>
    </xf>
    <xf numFmtId="0" fontId="17" fillId="0" borderId="72" xfId="0" applyFont="1" applyBorder="1" applyAlignment="1">
      <alignment horizontal="center" vertical="center"/>
    </xf>
    <xf numFmtId="0" fontId="17" fillId="10" borderId="73" xfId="0" applyFont="1" applyFill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75" xfId="0" applyFont="1" applyBorder="1" applyAlignment="1">
      <alignment horizontal="center" vertical="center"/>
    </xf>
    <xf numFmtId="0" fontId="17" fillId="10" borderId="74" xfId="0" applyFont="1" applyFill="1" applyBorder="1" applyAlignment="1">
      <alignment horizontal="center" vertical="center"/>
    </xf>
    <xf numFmtId="0" fontId="17" fillId="0" borderId="71" xfId="0" applyFont="1" applyBorder="1" applyAlignment="1">
      <alignment horizontal="center" vertical="center"/>
    </xf>
    <xf numFmtId="0" fontId="17" fillId="11" borderId="74" xfId="0" applyFont="1" applyFill="1" applyBorder="1" applyAlignment="1">
      <alignment horizontal="center" vertical="center"/>
    </xf>
    <xf numFmtId="0" fontId="17" fillId="11" borderId="76" xfId="0" applyFont="1" applyFill="1" applyBorder="1" applyAlignment="1">
      <alignment horizontal="center" vertical="center"/>
    </xf>
    <xf numFmtId="0" fontId="17" fillId="0" borderId="77" xfId="0" applyFont="1" applyBorder="1" applyAlignment="1">
      <alignment horizontal="center" vertical="center"/>
    </xf>
    <xf numFmtId="0" fontId="21" fillId="18" borderId="46" xfId="0" applyFont="1" applyFill="1" applyBorder="1" applyAlignment="1">
      <alignment horizontal="left" vertical="center"/>
    </xf>
    <xf numFmtId="0" fontId="39" fillId="0" borderId="16" xfId="0" applyFont="1" applyBorder="1" applyAlignment="1">
      <alignment horizontal="center" vertical="center"/>
    </xf>
    <xf numFmtId="0" fontId="32" fillId="14" borderId="10" xfId="0" applyFont="1" applyFill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23" fillId="10" borderId="10" xfId="0" applyFont="1" applyFill="1" applyBorder="1" applyAlignment="1">
      <alignment horizontal="center" vertical="center"/>
    </xf>
    <xf numFmtId="0" fontId="23" fillId="10" borderId="6" xfId="0" applyFont="1" applyFill="1" applyBorder="1" applyAlignment="1">
      <alignment horizontal="center" vertical="center"/>
    </xf>
    <xf numFmtId="0" fontId="21" fillId="4" borderId="78" xfId="0" applyFont="1" applyFill="1" applyBorder="1" applyAlignment="1">
      <alignment horizontal="left" vertical="center"/>
    </xf>
    <xf numFmtId="0" fontId="35" fillId="0" borderId="16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11" borderId="16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40" fillId="11" borderId="48" xfId="0" applyFont="1" applyFill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10" fillId="10" borderId="48" xfId="0" applyFont="1" applyFill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10" borderId="51" xfId="0" applyFont="1" applyFill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11" borderId="51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11" borderId="54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21" fillId="18" borderId="55" xfId="0" applyFont="1" applyFill="1" applyBorder="1" applyAlignment="1">
      <alignment horizontal="left" vertical="center"/>
    </xf>
    <xf numFmtId="0" fontId="23" fillId="0" borderId="16" xfId="0" applyFont="1" applyBorder="1" applyAlignment="1">
      <alignment horizontal="center" vertical="center"/>
    </xf>
    <xf numFmtId="9" fontId="29" fillId="19" borderId="50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center" vertical="center"/>
    </xf>
    <xf numFmtId="0" fontId="23" fillId="10" borderId="16" xfId="0" applyFont="1" applyFill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29" fillId="19" borderId="50" xfId="0" applyFont="1" applyFill="1" applyBorder="1" applyAlignment="1">
      <alignment horizontal="center" vertical="center"/>
    </xf>
    <xf numFmtId="0" fontId="30" fillId="11" borderId="48" xfId="0" applyFont="1" applyFill="1" applyBorder="1" applyAlignment="1">
      <alignment horizontal="center" vertical="center"/>
    </xf>
    <xf numFmtId="0" fontId="30" fillId="0" borderId="51" xfId="0" applyFont="1" applyBorder="1" applyAlignment="1">
      <alignment horizontal="center" vertical="center"/>
    </xf>
    <xf numFmtId="0" fontId="26" fillId="11" borderId="16" xfId="0" applyFont="1" applyFill="1" applyBorder="1" applyAlignment="1">
      <alignment horizontal="center" vertical="center"/>
    </xf>
    <xf numFmtId="0" fontId="26" fillId="11" borderId="48" xfId="0" applyFont="1" applyFill="1" applyBorder="1" applyAlignment="1">
      <alignment horizontal="center" vertical="center"/>
    </xf>
    <xf numFmtId="0" fontId="23" fillId="19" borderId="16" xfId="0" applyFont="1" applyFill="1" applyBorder="1" applyAlignment="1">
      <alignment horizontal="center" vertical="center"/>
    </xf>
    <xf numFmtId="0" fontId="33" fillId="19" borderId="16" xfId="0" applyFont="1" applyFill="1" applyBorder="1" applyAlignment="1">
      <alignment horizontal="center" vertical="center"/>
    </xf>
    <xf numFmtId="0" fontId="34" fillId="11" borderId="51" xfId="0" applyFont="1" applyFill="1" applyBorder="1" applyAlignment="1">
      <alignment horizontal="center" vertical="center"/>
    </xf>
    <xf numFmtId="0" fontId="21" fillId="6" borderId="46" xfId="0" applyFont="1" applyFill="1" applyBorder="1" applyAlignment="1">
      <alignment horizontal="left" vertical="center"/>
    </xf>
    <xf numFmtId="0" fontId="39" fillId="0" borderId="10" xfId="0" applyFont="1" applyBorder="1" applyAlignment="1">
      <alignment horizontal="center" vertical="center"/>
    </xf>
    <xf numFmtId="0" fontId="37" fillId="14" borderId="13" xfId="0" applyFont="1" applyFill="1" applyBorder="1" applyAlignment="1">
      <alignment horizontal="center" vertical="center"/>
    </xf>
    <xf numFmtId="0" fontId="23" fillId="16" borderId="16" xfId="0" applyFont="1" applyFill="1" applyBorder="1" applyAlignment="1">
      <alignment horizontal="center" vertical="center"/>
    </xf>
    <xf numFmtId="0" fontId="21" fillId="6" borderId="55" xfId="0" applyFont="1" applyFill="1" applyBorder="1" applyAlignment="1">
      <alignment horizontal="left" vertical="center"/>
    </xf>
    <xf numFmtId="0" fontId="12" fillId="16" borderId="51" xfId="0" applyFont="1" applyFill="1" applyBorder="1" applyAlignment="1">
      <alignment horizontal="center" vertical="center"/>
    </xf>
    <xf numFmtId="0" fontId="38" fillId="16" borderId="48" xfId="0" applyFont="1" applyFill="1" applyBorder="1" applyAlignment="1">
      <alignment horizontal="center" vertical="center"/>
    </xf>
    <xf numFmtId="0" fontId="17" fillId="16" borderId="52" xfId="0" applyFont="1" applyFill="1" applyBorder="1" applyAlignment="1">
      <alignment horizontal="center" vertical="center"/>
    </xf>
    <xf numFmtId="0" fontId="17" fillId="16" borderId="48" xfId="0" applyFont="1" applyFill="1" applyBorder="1" applyAlignment="1">
      <alignment horizontal="center" vertical="center"/>
    </xf>
    <xf numFmtId="0" fontId="17" fillId="16" borderId="79" xfId="0" applyFont="1" applyFill="1" applyBorder="1" applyAlignment="1">
      <alignment horizontal="center" vertical="center"/>
    </xf>
    <xf numFmtId="0" fontId="17" fillId="16" borderId="67" xfId="0" applyFont="1" applyFill="1" applyBorder="1" applyAlignment="1">
      <alignment horizontal="center" vertical="center"/>
    </xf>
    <xf numFmtId="0" fontId="17" fillId="16" borderId="80" xfId="0" applyFont="1" applyFill="1" applyBorder="1" applyAlignment="1">
      <alignment horizontal="center" vertical="center"/>
    </xf>
    <xf numFmtId="0" fontId="17" fillId="16" borderId="81" xfId="0" applyFont="1" applyFill="1" applyBorder="1" applyAlignment="1">
      <alignment horizontal="center" vertical="center"/>
    </xf>
    <xf numFmtId="0" fontId="23" fillId="14" borderId="10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0" fillId="11" borderId="3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10" borderId="43" xfId="0" applyFont="1" applyFill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11" borderId="43" xfId="0" applyFont="1" applyFill="1" applyBorder="1" applyAlignment="1">
      <alignment horizontal="center" vertical="center"/>
    </xf>
    <xf numFmtId="0" fontId="17" fillId="11" borderId="41" xfId="0" applyFont="1" applyFill="1" applyBorder="1" applyAlignment="1">
      <alignment horizontal="center" vertical="center"/>
    </xf>
    <xf numFmtId="20" fontId="41" fillId="14" borderId="16" xfId="0" applyNumberFormat="1" applyFont="1" applyFill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7" fillId="10" borderId="16" xfId="0" applyFont="1" applyFill="1" applyBorder="1" applyAlignment="1">
      <alignment horizontal="center" vertical="center"/>
    </xf>
    <xf numFmtId="0" fontId="21" fillId="22" borderId="46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35" fillId="10" borderId="10" xfId="0" applyFont="1" applyFill="1" applyBorder="1" applyAlignment="1">
      <alignment horizontal="center" vertical="center"/>
    </xf>
    <xf numFmtId="0" fontId="21" fillId="22" borderId="55" xfId="0" applyFont="1" applyFill="1" applyBorder="1" applyAlignment="1">
      <alignment horizontal="left" vertical="center"/>
    </xf>
    <xf numFmtId="9" fontId="42" fillId="0" borderId="50" xfId="0" applyNumberFormat="1" applyFont="1" applyBorder="1" applyAlignment="1">
      <alignment horizontal="center" vertical="center"/>
    </xf>
    <xf numFmtId="0" fontId="23" fillId="11" borderId="7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23" fillId="11" borderId="54" xfId="0" applyFont="1" applyFill="1" applyBorder="1" applyAlignment="1">
      <alignment horizontal="center" vertical="center"/>
    </xf>
    <xf numFmtId="0" fontId="2" fillId="4" borderId="0" xfId="2" applyFill="1"/>
    <xf numFmtId="0" fontId="12" fillId="14" borderId="9" xfId="0" applyFont="1" applyFill="1" applyBorder="1" applyAlignment="1">
      <alignment horizontal="center" vertical="center"/>
    </xf>
    <xf numFmtId="0" fontId="42" fillId="19" borderId="6" xfId="0" applyFont="1" applyFill="1" applyBorder="1" applyAlignment="1">
      <alignment horizontal="center" vertical="center"/>
    </xf>
    <xf numFmtId="0" fontId="28" fillId="19" borderId="13" xfId="0" applyFont="1" applyFill="1" applyBorder="1" applyAlignment="1">
      <alignment horizontal="center" vertical="center"/>
    </xf>
    <xf numFmtId="0" fontId="17" fillId="16" borderId="83" xfId="0" applyFont="1" applyFill="1" applyBorder="1" applyAlignment="1">
      <alignment horizontal="center" vertical="center"/>
    </xf>
    <xf numFmtId="0" fontId="21" fillId="18" borderId="84" xfId="0" applyFont="1" applyFill="1" applyBorder="1" applyAlignment="1">
      <alignment horizontal="left" vertical="center"/>
    </xf>
    <xf numFmtId="0" fontId="39" fillId="0" borderId="34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9" fontId="24" fillId="14" borderId="35" xfId="0" applyNumberFormat="1" applyFont="1" applyFill="1" applyBorder="1" applyAlignment="1">
      <alignment horizontal="center" vertical="center"/>
    </xf>
    <xf numFmtId="9" fontId="28" fillId="0" borderId="38" xfId="0" applyNumberFormat="1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10" borderId="34" xfId="0" applyFont="1" applyFill="1" applyBorder="1" applyAlignment="1">
      <alignment horizontal="center" vertical="center"/>
    </xf>
    <xf numFmtId="0" fontId="10" fillId="10" borderId="35" xfId="0" applyFont="1" applyFill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10" borderId="33" xfId="0" applyFont="1" applyFill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11" borderId="33" xfId="0" applyFont="1" applyFill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21" fillId="18" borderId="85" xfId="0" applyFont="1" applyFill="1" applyBorder="1" applyAlignment="1">
      <alignment horizontal="left" vertical="center"/>
    </xf>
    <xf numFmtId="0" fontId="40" fillId="0" borderId="51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21" fillId="18" borderId="5" xfId="0" applyFont="1" applyFill="1" applyBorder="1" applyAlignment="1">
      <alignment horizontal="left" vertical="center"/>
    </xf>
    <xf numFmtId="0" fontId="43" fillId="0" borderId="51" xfId="0" applyFont="1" applyBorder="1" applyAlignment="1">
      <alignment horizontal="center" vertical="center"/>
    </xf>
    <xf numFmtId="0" fontId="40" fillId="0" borderId="48" xfId="0" applyFont="1" applyBorder="1" applyAlignment="1">
      <alignment horizontal="center" vertical="center"/>
    </xf>
    <xf numFmtId="0" fontId="20" fillId="14" borderId="10" xfId="0" applyFont="1" applyFill="1" applyBorder="1" applyAlignment="1">
      <alignment horizontal="center" vertical="center"/>
    </xf>
    <xf numFmtId="0" fontId="10" fillId="16" borderId="9" xfId="0" applyFont="1" applyFill="1" applyBorder="1" applyAlignment="1">
      <alignment horizontal="center" vertical="center"/>
    </xf>
    <xf numFmtId="0" fontId="10" fillId="16" borderId="10" xfId="0" applyFont="1" applyFill="1" applyBorder="1" applyAlignment="1">
      <alignment horizontal="center" vertical="center"/>
    </xf>
    <xf numFmtId="0" fontId="10" fillId="16" borderId="6" xfId="0" applyFont="1" applyFill="1" applyBorder="1" applyAlignment="1">
      <alignment horizontal="center" vertical="center"/>
    </xf>
    <xf numFmtId="0" fontId="10" fillId="16" borderId="11" xfId="0" applyFont="1" applyFill="1" applyBorder="1" applyAlignment="1">
      <alignment horizontal="center" vertical="center"/>
    </xf>
    <xf numFmtId="0" fontId="10" fillId="16" borderId="12" xfId="0" applyFont="1" applyFill="1" applyBorder="1" applyAlignment="1">
      <alignment horizontal="center" vertical="center"/>
    </xf>
    <xf numFmtId="0" fontId="10" fillId="16" borderId="13" xfId="0" applyFont="1" applyFill="1" applyBorder="1" applyAlignment="1">
      <alignment horizontal="center" vertical="center"/>
    </xf>
    <xf numFmtId="0" fontId="10" fillId="16" borderId="7" xfId="0" applyFont="1" applyFill="1" applyBorder="1" applyAlignment="1">
      <alignment horizontal="center" vertical="center"/>
    </xf>
    <xf numFmtId="0" fontId="10" fillId="16" borderId="47" xfId="0" applyFont="1" applyFill="1" applyBorder="1" applyAlignment="1">
      <alignment horizontal="center" vertical="center"/>
    </xf>
    <xf numFmtId="0" fontId="10" fillId="16" borderId="51" xfId="0" applyFont="1" applyFill="1" applyBorder="1" applyAlignment="1">
      <alignment horizontal="center" vertical="center"/>
    </xf>
    <xf numFmtId="0" fontId="10" fillId="16" borderId="16" xfId="0" applyFont="1" applyFill="1" applyBorder="1" applyAlignment="1">
      <alignment horizontal="center" vertical="center"/>
    </xf>
    <xf numFmtId="0" fontId="43" fillId="16" borderId="16" xfId="0" applyFont="1" applyFill="1" applyBorder="1" applyAlignment="1">
      <alignment horizontal="center" vertical="center"/>
    </xf>
    <xf numFmtId="0" fontId="40" fillId="16" borderId="48" xfId="0" applyFont="1" applyFill="1" applyBorder="1" applyAlignment="1">
      <alignment horizontal="center" vertical="center"/>
    </xf>
    <xf numFmtId="0" fontId="10" fillId="16" borderId="48" xfId="0" applyFont="1" applyFill="1" applyBorder="1" applyAlignment="1">
      <alignment horizontal="center" vertical="center"/>
    </xf>
    <xf numFmtId="0" fontId="10" fillId="16" borderId="52" xfId="0" applyFont="1" applyFill="1" applyBorder="1" applyAlignment="1">
      <alignment horizontal="center" vertical="center"/>
    </xf>
    <xf numFmtId="0" fontId="10" fillId="16" borderId="53" xfId="0" applyFont="1" applyFill="1" applyBorder="1" applyAlignment="1">
      <alignment horizontal="center" vertical="center"/>
    </xf>
    <xf numFmtId="0" fontId="10" fillId="16" borderId="50" xfId="0" applyFont="1" applyFill="1" applyBorder="1" applyAlignment="1">
      <alignment horizontal="center" vertical="center"/>
    </xf>
    <xf numFmtId="0" fontId="10" fillId="16" borderId="54" xfId="0" applyFont="1" applyFill="1" applyBorder="1" applyAlignment="1">
      <alignment horizontal="center" vertical="center"/>
    </xf>
    <xf numFmtId="0" fontId="10" fillId="16" borderId="18" xfId="0" applyFont="1" applyFill="1" applyBorder="1" applyAlignment="1">
      <alignment horizontal="center" vertical="center"/>
    </xf>
    <xf numFmtId="0" fontId="20" fillId="19" borderId="16" xfId="0" applyFont="1" applyFill="1" applyBorder="1" applyAlignment="1">
      <alignment horizontal="center" vertical="center"/>
    </xf>
    <xf numFmtId="0" fontId="42" fillId="19" borderId="48" xfId="0" applyFont="1" applyFill="1" applyBorder="1" applyAlignment="1">
      <alignment horizontal="center" vertical="center"/>
    </xf>
    <xf numFmtId="0" fontId="42" fillId="19" borderId="50" xfId="0" applyFont="1" applyFill="1" applyBorder="1" applyAlignment="1">
      <alignment horizontal="center" vertical="center"/>
    </xf>
    <xf numFmtId="0" fontId="21" fillId="18" borderId="19" xfId="0" applyFont="1" applyFill="1" applyBorder="1" applyAlignment="1">
      <alignment horizontal="left" vertical="center"/>
    </xf>
    <xf numFmtId="0" fontId="39" fillId="0" borderId="20" xfId="0" applyFont="1" applyBorder="1" applyAlignment="1">
      <alignment horizontal="center" vertical="center"/>
    </xf>
    <xf numFmtId="0" fontId="20" fillId="19" borderId="20" xfId="0" applyFont="1" applyFill="1" applyBorder="1" applyAlignment="1">
      <alignment horizontal="center" vertical="center"/>
    </xf>
    <xf numFmtId="0" fontId="24" fillId="19" borderId="21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10" fillId="4" borderId="86" xfId="0" applyFont="1" applyFill="1" applyBorder="1" applyAlignment="1">
      <alignment horizontal="center" vertical="center"/>
    </xf>
    <xf numFmtId="0" fontId="10" fillId="4" borderId="87" xfId="0" applyFont="1" applyFill="1" applyBorder="1" applyAlignment="1">
      <alignment horizontal="center" vertical="center"/>
    </xf>
    <xf numFmtId="0" fontId="11" fillId="14" borderId="61" xfId="0" applyFont="1" applyFill="1" applyBorder="1" applyAlignment="1">
      <alignment horizontal="center" vertical="center"/>
    </xf>
    <xf numFmtId="0" fontId="10" fillId="0" borderId="88" xfId="0" applyFont="1" applyBorder="1" applyAlignment="1">
      <alignment horizontal="center" vertical="center"/>
    </xf>
    <xf numFmtId="0" fontId="10" fillId="0" borderId="89" xfId="0" applyFont="1" applyBorder="1" applyAlignment="1">
      <alignment horizontal="center" vertical="center"/>
    </xf>
    <xf numFmtId="0" fontId="21" fillId="4" borderId="85" xfId="0" applyFont="1" applyFill="1" applyBorder="1" applyAlignment="1">
      <alignment horizontal="left" vertical="center"/>
    </xf>
    <xf numFmtId="0" fontId="10" fillId="0" borderId="9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91" xfId="0" applyFont="1" applyBorder="1" applyAlignment="1">
      <alignment horizontal="center" vertical="center"/>
    </xf>
    <xf numFmtId="0" fontId="45" fillId="14" borderId="10" xfId="0" applyFont="1" applyFill="1" applyBorder="1" applyAlignment="1">
      <alignment horizontal="center" vertical="center"/>
    </xf>
    <xf numFmtId="0" fontId="44" fillId="14" borderId="10" xfId="0" applyFont="1" applyFill="1" applyBorder="1" applyAlignment="1">
      <alignment horizontal="center" vertical="center"/>
    </xf>
    <xf numFmtId="0" fontId="30" fillId="14" borderId="61" xfId="0" applyFont="1" applyFill="1" applyBorder="1" applyAlignment="1">
      <alignment horizontal="center" vertical="center"/>
    </xf>
    <xf numFmtId="0" fontId="44" fillId="14" borderId="16" xfId="0" applyFont="1" applyFill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22" fillId="14" borderId="16" xfId="0" applyFont="1" applyFill="1" applyBorder="1" applyAlignment="1">
      <alignment horizontal="center" vertical="center"/>
    </xf>
    <xf numFmtId="0" fontId="44" fillId="14" borderId="16" xfId="2" applyFont="1" applyFill="1" applyBorder="1" applyAlignment="1">
      <alignment horizontal="center" vertical="center"/>
    </xf>
    <xf numFmtId="0" fontId="45" fillId="0" borderId="16" xfId="2" applyFont="1" applyBorder="1" applyAlignment="1">
      <alignment horizontal="center" vertical="center"/>
    </xf>
    <xf numFmtId="0" fontId="45" fillId="4" borderId="16" xfId="0" applyFont="1" applyFill="1" applyBorder="1" applyAlignment="1">
      <alignment horizontal="center" vertical="center"/>
    </xf>
    <xf numFmtId="0" fontId="44" fillId="14" borderId="20" xfId="2" applyFont="1" applyFill="1" applyBorder="1" applyAlignment="1">
      <alignment horizontal="center" vertical="center"/>
    </xf>
    <xf numFmtId="0" fontId="45" fillId="4" borderId="20" xfId="2" applyFont="1" applyFill="1" applyBorder="1" applyAlignment="1">
      <alignment horizontal="center" vertical="center"/>
    </xf>
    <xf numFmtId="0" fontId="10" fillId="0" borderId="92" xfId="2" applyFont="1" applyBorder="1" applyAlignment="1">
      <alignment horizontal="center" vertical="center"/>
    </xf>
    <xf numFmtId="0" fontId="10" fillId="0" borderId="93" xfId="2" applyFont="1" applyBorder="1" applyAlignment="1">
      <alignment horizontal="center" vertical="center"/>
    </xf>
    <xf numFmtId="0" fontId="10" fillId="0" borderId="94" xfId="2" applyFont="1" applyBorder="1" applyAlignment="1">
      <alignment horizontal="center" vertical="center"/>
    </xf>
    <xf numFmtId="0" fontId="9" fillId="13" borderId="95" xfId="2" applyFont="1" applyFill="1" applyBorder="1" applyAlignment="1">
      <alignment horizontal="center" vertical="center"/>
    </xf>
    <xf numFmtId="0" fontId="39" fillId="14" borderId="96" xfId="2" applyFont="1" applyFill="1" applyBorder="1" applyAlignment="1">
      <alignment horizontal="center" vertical="center"/>
    </xf>
    <xf numFmtId="0" fontId="16" fillId="23" borderId="96" xfId="2" applyFont="1" applyFill="1" applyBorder="1" applyAlignment="1">
      <alignment horizontal="center" vertical="center"/>
    </xf>
    <xf numFmtId="0" fontId="16" fillId="23" borderId="97" xfId="2" applyFont="1" applyFill="1" applyBorder="1" applyAlignment="1">
      <alignment horizontal="center" vertical="center"/>
    </xf>
    <xf numFmtId="0" fontId="17" fillId="19" borderId="98" xfId="2" applyFont="1" applyFill="1" applyBorder="1" applyAlignment="1">
      <alignment horizontal="center" vertical="center"/>
    </xf>
    <xf numFmtId="0" fontId="10" fillId="0" borderId="99" xfId="2" applyFont="1" applyBorder="1" applyAlignment="1">
      <alignment horizontal="center" vertical="center"/>
    </xf>
    <xf numFmtId="0" fontId="10" fillId="0" borderId="100" xfId="2" applyFont="1" applyBorder="1" applyAlignment="1">
      <alignment horizontal="center" vertical="center"/>
    </xf>
    <xf numFmtId="0" fontId="10" fillId="0" borderId="101" xfId="2" applyFont="1" applyBorder="1" applyAlignment="1">
      <alignment horizontal="center" vertical="center"/>
    </xf>
    <xf numFmtId="0" fontId="17" fillId="16" borderId="102" xfId="2" applyFont="1" applyFill="1" applyBorder="1" applyAlignment="1">
      <alignment horizontal="center" vertical="center"/>
    </xf>
    <xf numFmtId="0" fontId="10" fillId="16" borderId="99" xfId="2" applyFont="1" applyFill="1" applyBorder="1" applyAlignment="1">
      <alignment horizontal="center" vertical="center"/>
    </xf>
    <xf numFmtId="0" fontId="10" fillId="16" borderId="100" xfId="2" applyFont="1" applyFill="1" applyBorder="1" applyAlignment="1">
      <alignment horizontal="center" vertical="center"/>
    </xf>
    <xf numFmtId="0" fontId="46" fillId="14" borderId="60" xfId="2" applyFont="1" applyFill="1" applyBorder="1"/>
    <xf numFmtId="0" fontId="1" fillId="14" borderId="10" xfId="2" applyFont="1" applyFill="1" applyBorder="1" applyAlignment="1">
      <alignment horizontal="center" vertical="center"/>
    </xf>
    <xf numFmtId="0" fontId="2" fillId="0" borderId="10" xfId="2" applyBorder="1"/>
    <xf numFmtId="0" fontId="2" fillId="0" borderId="47" xfId="2" applyBorder="1"/>
    <xf numFmtId="0" fontId="17" fillId="4" borderId="102" xfId="2" applyFont="1" applyFill="1" applyBorder="1" applyAlignment="1">
      <alignment horizontal="center" vertical="center"/>
    </xf>
    <xf numFmtId="0" fontId="10" fillId="0" borderId="103" xfId="2" applyFont="1" applyBorder="1" applyAlignment="1">
      <alignment horizontal="center" vertical="center"/>
    </xf>
    <xf numFmtId="0" fontId="10" fillId="4" borderId="99" xfId="2" applyFont="1" applyFill="1" applyBorder="1" applyAlignment="1">
      <alignment horizontal="center" vertical="center"/>
    </xf>
    <xf numFmtId="0" fontId="10" fillId="0" borderId="104" xfId="2" applyFont="1" applyBorder="1" applyAlignment="1">
      <alignment horizontal="center" vertical="center"/>
    </xf>
    <xf numFmtId="0" fontId="10" fillId="0" borderId="88" xfId="2" applyFont="1" applyBorder="1" applyAlignment="1">
      <alignment horizontal="center" vertical="center"/>
    </xf>
    <xf numFmtId="0" fontId="10" fillId="0" borderId="89" xfId="2" applyFont="1" applyBorder="1" applyAlignment="1">
      <alignment horizontal="center" vertical="center"/>
    </xf>
    <xf numFmtId="0" fontId="3" fillId="0" borderId="0" xfId="2" applyFont="1" applyAlignment="1">
      <alignment horizontal="center"/>
    </xf>
    <xf numFmtId="0" fontId="47" fillId="0" borderId="10" xfId="2" applyFont="1" applyBorder="1"/>
    <xf numFmtId="0" fontId="48" fillId="14" borderId="10" xfId="2" applyFont="1" applyFill="1" applyBorder="1"/>
    <xf numFmtId="0" fontId="10" fillId="0" borderId="108" xfId="2" applyFont="1" applyBorder="1" applyAlignment="1">
      <alignment horizontal="center" vertical="center"/>
    </xf>
    <xf numFmtId="0" fontId="10" fillId="0" borderId="27" xfId="2" applyFont="1" applyBorder="1" applyAlignment="1">
      <alignment horizontal="center" vertical="center"/>
    </xf>
    <xf numFmtId="165" fontId="3" fillId="0" borderId="0" xfId="2" applyNumberFormat="1" applyFont="1" applyAlignment="1">
      <alignment horizontal="center"/>
    </xf>
    <xf numFmtId="0" fontId="2" fillId="14" borderId="10" xfId="2" applyFill="1" applyBorder="1" applyAlignment="1">
      <alignment horizontal="center" vertical="center"/>
    </xf>
    <xf numFmtId="0" fontId="10" fillId="4" borderId="100" xfId="2" applyFont="1" applyFill="1" applyBorder="1" applyAlignment="1">
      <alignment horizontal="center" vertical="center"/>
    </xf>
    <xf numFmtId="0" fontId="35" fillId="4" borderId="114" xfId="2" applyFont="1" applyFill="1" applyBorder="1" applyAlignment="1">
      <alignment horizontal="center"/>
    </xf>
    <xf numFmtId="0" fontId="2" fillId="4" borderId="115" xfId="2" applyFill="1" applyBorder="1"/>
    <xf numFmtId="0" fontId="2" fillId="4" borderId="99" xfId="2" applyFill="1" applyBorder="1"/>
    <xf numFmtId="0" fontId="2" fillId="0" borderId="90" xfId="2" applyBorder="1"/>
    <xf numFmtId="0" fontId="24" fillId="0" borderId="48" xfId="0" applyFont="1" applyBorder="1" applyAlignment="1">
      <alignment horizontal="center" vertical="center"/>
    </xf>
    <xf numFmtId="9" fontId="24" fillId="0" borderId="48" xfId="0" applyNumberFormat="1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/>
    </xf>
    <xf numFmtId="0" fontId="24" fillId="0" borderId="7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4" fillId="0" borderId="118" xfId="0" applyFont="1" applyBorder="1" applyAlignment="1">
      <alignment horizontal="center" vertical="center"/>
    </xf>
    <xf numFmtId="0" fontId="37" fillId="0" borderId="119" xfId="0" applyFont="1" applyBorder="1" applyAlignment="1">
      <alignment horizontal="center" vertical="center"/>
    </xf>
    <xf numFmtId="0" fontId="10" fillId="0" borderId="117" xfId="0" applyFont="1" applyBorder="1" applyAlignment="1">
      <alignment horizontal="center" vertical="center"/>
    </xf>
    <xf numFmtId="0" fontId="10" fillId="0" borderId="118" xfId="0" applyFont="1" applyBorder="1" applyAlignment="1">
      <alignment horizontal="center" vertical="center"/>
    </xf>
    <xf numFmtId="0" fontId="10" fillId="10" borderId="117" xfId="0" applyFont="1" applyFill="1" applyBorder="1" applyAlignment="1">
      <alignment horizontal="center" vertical="center"/>
    </xf>
    <xf numFmtId="0" fontId="10" fillId="0" borderId="121" xfId="0" applyFont="1" applyBorder="1" applyAlignment="1">
      <alignment horizontal="center" vertical="center"/>
    </xf>
    <xf numFmtId="0" fontId="10" fillId="10" borderId="120" xfId="0" applyFont="1" applyFill="1" applyBorder="1" applyAlignment="1">
      <alignment horizontal="center" vertical="center"/>
    </xf>
    <xf numFmtId="0" fontId="10" fillId="0" borderId="122" xfId="0" applyFont="1" applyBorder="1" applyAlignment="1">
      <alignment horizontal="center" vertical="center"/>
    </xf>
    <xf numFmtId="0" fontId="10" fillId="11" borderId="120" xfId="0" applyFont="1" applyFill="1" applyBorder="1" applyAlignment="1">
      <alignment horizontal="center" vertical="center"/>
    </xf>
    <xf numFmtId="0" fontId="10" fillId="11" borderId="123" xfId="0" applyFont="1" applyFill="1" applyBorder="1" applyAlignment="1">
      <alignment horizontal="center" vertical="center"/>
    </xf>
    <xf numFmtId="0" fontId="10" fillId="0" borderId="124" xfId="0" applyFont="1" applyBorder="1" applyAlignment="1">
      <alignment horizontal="center" vertical="center"/>
    </xf>
    <xf numFmtId="0" fontId="32" fillId="0" borderId="125" xfId="0" applyFont="1" applyBorder="1" applyAlignment="1">
      <alignment horizontal="center" vertical="center"/>
    </xf>
    <xf numFmtId="9" fontId="24" fillId="0" borderId="126" xfId="0" applyNumberFormat="1" applyFont="1" applyBorder="1" applyAlignment="1">
      <alignment horizontal="center" vertical="center"/>
    </xf>
    <xf numFmtId="9" fontId="28" fillId="14" borderId="127" xfId="0" applyNumberFormat="1" applyFont="1" applyFill="1" applyBorder="1" applyAlignment="1">
      <alignment horizontal="center" vertical="center"/>
    </xf>
    <xf numFmtId="0" fontId="51" fillId="20" borderId="82" xfId="0" applyFont="1" applyFill="1" applyBorder="1" applyAlignment="1">
      <alignment horizontal="left" vertical="center"/>
    </xf>
    <xf numFmtId="0" fontId="51" fillId="4" borderId="116" xfId="0" applyFont="1" applyFill="1" applyBorder="1" applyAlignment="1">
      <alignment horizontal="left" vertical="center"/>
    </xf>
    <xf numFmtId="0" fontId="51" fillId="12" borderId="1" xfId="0" applyFont="1" applyFill="1" applyBorder="1" applyAlignment="1">
      <alignment horizontal="left" vertical="center"/>
    </xf>
    <xf numFmtId="0" fontId="8" fillId="9" borderId="29" xfId="2" applyFont="1" applyFill="1" applyBorder="1" applyAlignment="1">
      <alignment horizontal="left" vertical="center"/>
    </xf>
    <xf numFmtId="0" fontId="38" fillId="11" borderId="3" xfId="0" applyFont="1" applyFill="1" applyBorder="1" applyAlignment="1">
      <alignment horizontal="center" vertical="center"/>
    </xf>
    <xf numFmtId="0" fontId="17" fillId="0" borderId="120" xfId="0" applyFont="1" applyBorder="1" applyAlignment="1">
      <alignment horizontal="center" vertical="center"/>
    </xf>
    <xf numFmtId="0" fontId="17" fillId="10" borderId="118" xfId="0" applyFont="1" applyFill="1" applyBorder="1" applyAlignment="1">
      <alignment horizontal="center" vertical="center"/>
    </xf>
    <xf numFmtId="0" fontId="21" fillId="15" borderId="135" xfId="0" applyFont="1" applyFill="1" applyBorder="1" applyAlignment="1">
      <alignment horizontal="left" vertical="center"/>
    </xf>
    <xf numFmtId="0" fontId="21" fillId="22" borderId="136" xfId="0" applyFont="1" applyFill="1" applyBorder="1" applyAlignment="1">
      <alignment horizontal="left" vertical="center"/>
    </xf>
    <xf numFmtId="0" fontId="53" fillId="22" borderId="55" xfId="0" applyFont="1" applyFill="1" applyBorder="1" applyAlignment="1">
      <alignment horizontal="left" vertical="center"/>
    </xf>
    <xf numFmtId="0" fontId="17" fillId="0" borderId="137" xfId="0" applyFont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/>
    </xf>
    <xf numFmtId="0" fontId="54" fillId="0" borderId="50" xfId="0" applyFont="1" applyBorder="1" applyAlignment="1">
      <alignment horizontal="center" vertical="center"/>
    </xf>
    <xf numFmtId="0" fontId="55" fillId="19" borderId="50" xfId="0" applyFont="1" applyFill="1" applyBorder="1" applyAlignment="1">
      <alignment horizontal="center" vertical="center"/>
    </xf>
    <xf numFmtId="9" fontId="56" fillId="0" borderId="50" xfId="0" applyNumberFormat="1" applyFont="1" applyBorder="1" applyAlignment="1">
      <alignment horizontal="center" vertical="center"/>
    </xf>
    <xf numFmtId="0" fontId="28" fillId="19" borderId="50" xfId="0" applyFont="1" applyFill="1" applyBorder="1" applyAlignment="1">
      <alignment horizontal="center" vertical="center"/>
    </xf>
    <xf numFmtId="0" fontId="11" fillId="14" borderId="138" xfId="0" applyFont="1" applyFill="1" applyBorder="1" applyAlignment="1">
      <alignment horizontal="center" vertical="center"/>
    </xf>
    <xf numFmtId="0" fontId="13" fillId="11" borderId="16" xfId="0" applyFont="1" applyFill="1" applyBorder="1" applyAlignment="1">
      <alignment horizontal="center" vertical="center" wrapText="1"/>
    </xf>
    <xf numFmtId="0" fontId="13" fillId="16" borderId="9" xfId="0" applyFont="1" applyFill="1" applyBorder="1" applyAlignment="1">
      <alignment horizontal="center" vertical="center"/>
    </xf>
    <xf numFmtId="0" fontId="30" fillId="11" borderId="16" xfId="0" applyFont="1" applyFill="1" applyBorder="1" applyAlignment="1">
      <alignment horizontal="center" vertical="center"/>
    </xf>
    <xf numFmtId="0" fontId="53" fillId="13" borderId="46" xfId="0" applyFont="1" applyFill="1" applyBorder="1" applyAlignment="1">
      <alignment horizontal="left" vertical="center"/>
    </xf>
    <xf numFmtId="0" fontId="61" fillId="13" borderId="46" xfId="0" applyFont="1" applyFill="1" applyBorder="1" applyAlignment="1">
      <alignment horizontal="left" vertical="center"/>
    </xf>
    <xf numFmtId="0" fontId="42" fillId="0" borderId="48" xfId="0" applyFont="1" applyBorder="1" applyAlignment="1">
      <alignment horizontal="center" vertical="center"/>
    </xf>
    <xf numFmtId="9" fontId="42" fillId="0" borderId="48" xfId="0" applyNumberFormat="1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53" fillId="17" borderId="59" xfId="0" applyFont="1" applyFill="1" applyBorder="1" applyAlignment="1">
      <alignment horizontal="left" vertical="center"/>
    </xf>
    <xf numFmtId="0" fontId="53" fillId="17" borderId="46" xfId="0" applyFont="1" applyFill="1" applyBorder="1" applyAlignment="1">
      <alignment horizontal="left" vertical="center"/>
    </xf>
    <xf numFmtId="0" fontId="53" fillId="21" borderId="46" xfId="0" applyFont="1" applyFill="1" applyBorder="1" applyAlignment="1">
      <alignment horizontal="left" vertical="center"/>
    </xf>
    <xf numFmtId="0" fontId="53" fillId="21" borderId="55" xfId="0" applyFont="1" applyFill="1" applyBorder="1" applyAlignment="1">
      <alignment horizontal="left" vertical="center"/>
    </xf>
    <xf numFmtId="0" fontId="14" fillId="11" borderId="3" xfId="0" applyFont="1" applyFill="1" applyBorder="1" applyAlignment="1">
      <alignment horizontal="center" vertical="center"/>
    </xf>
    <xf numFmtId="0" fontId="21" fillId="15" borderId="139" xfId="0" applyFont="1" applyFill="1" applyBorder="1" applyAlignment="1">
      <alignment horizontal="left" vertical="center"/>
    </xf>
    <xf numFmtId="0" fontId="21" fillId="15" borderId="59" xfId="0" applyFont="1" applyFill="1" applyBorder="1" applyAlignment="1">
      <alignment horizontal="left" vertical="center"/>
    </xf>
    <xf numFmtId="0" fontId="13" fillId="11" borderId="2" xfId="0" applyFont="1" applyFill="1" applyBorder="1" applyAlignment="1">
      <alignment horizontal="center" vertical="center"/>
    </xf>
    <xf numFmtId="0" fontId="12" fillId="14" borderId="128" xfId="0" applyFont="1" applyFill="1" applyBorder="1" applyAlignment="1">
      <alignment horizontal="center" vertical="center"/>
    </xf>
    <xf numFmtId="0" fontId="12" fillId="14" borderId="125" xfId="0" applyFont="1" applyFill="1" applyBorder="1" applyAlignment="1">
      <alignment horizontal="center" vertical="center"/>
    </xf>
    <xf numFmtId="0" fontId="12" fillId="14" borderId="126" xfId="0" applyFont="1" applyFill="1" applyBorder="1" applyAlignment="1">
      <alignment horizontal="center" vertical="center"/>
    </xf>
    <xf numFmtId="0" fontId="17" fillId="14" borderId="129" xfId="0" applyFont="1" applyFill="1" applyBorder="1" applyAlignment="1">
      <alignment horizontal="center" vertical="center"/>
    </xf>
    <xf numFmtId="0" fontId="17" fillId="14" borderId="128" xfId="0" applyFont="1" applyFill="1" applyBorder="1" applyAlignment="1">
      <alignment horizontal="center" vertical="center"/>
    </xf>
    <xf numFmtId="0" fontId="17" fillId="14" borderId="125" xfId="0" applyFont="1" applyFill="1" applyBorder="1" applyAlignment="1">
      <alignment horizontal="center" vertical="center"/>
    </xf>
    <xf numFmtId="0" fontId="17" fillId="14" borderId="126" xfId="0" applyFont="1" applyFill="1" applyBorder="1" applyAlignment="1">
      <alignment horizontal="center" vertical="center"/>
    </xf>
    <xf numFmtId="0" fontId="17" fillId="14" borderId="130" xfId="0" applyFont="1" applyFill="1" applyBorder="1" applyAlignment="1">
      <alignment horizontal="center" vertical="center"/>
    </xf>
    <xf numFmtId="0" fontId="17" fillId="14" borderId="131" xfId="0" applyFont="1" applyFill="1" applyBorder="1" applyAlignment="1">
      <alignment horizontal="center" vertical="center"/>
    </xf>
    <xf numFmtId="0" fontId="17" fillId="14" borderId="132" xfId="0" applyFont="1" applyFill="1" applyBorder="1" applyAlignment="1">
      <alignment horizontal="center" vertical="center"/>
    </xf>
    <xf numFmtId="0" fontId="17" fillId="14" borderId="133" xfId="0" applyFont="1" applyFill="1" applyBorder="1" applyAlignment="1">
      <alignment horizontal="center" vertical="center"/>
    </xf>
    <xf numFmtId="0" fontId="12" fillId="24" borderId="125" xfId="0" applyFont="1" applyFill="1" applyBorder="1" applyAlignment="1">
      <alignment horizontal="center" vertical="center"/>
    </xf>
    <xf numFmtId="0" fontId="12" fillId="24" borderId="126" xfId="0" applyFont="1" applyFill="1" applyBorder="1" applyAlignment="1">
      <alignment horizontal="center" vertical="center"/>
    </xf>
    <xf numFmtId="0" fontId="17" fillId="24" borderId="132" xfId="0" applyFont="1" applyFill="1" applyBorder="1" applyAlignment="1">
      <alignment horizontal="center" vertical="center"/>
    </xf>
    <xf numFmtId="0" fontId="17" fillId="10" borderId="125" xfId="0" applyFont="1" applyFill="1" applyBorder="1" applyAlignment="1">
      <alignment horizontal="center" vertical="center"/>
    </xf>
    <xf numFmtId="0" fontId="17" fillId="10" borderId="126" xfId="0" applyFont="1" applyFill="1" applyBorder="1" applyAlignment="1">
      <alignment horizontal="center" vertical="center"/>
    </xf>
    <xf numFmtId="0" fontId="17" fillId="10" borderId="128" xfId="0" applyFont="1" applyFill="1" applyBorder="1" applyAlignment="1">
      <alignment horizontal="center" vertical="center"/>
    </xf>
    <xf numFmtId="0" fontId="21" fillId="10" borderId="85" xfId="0" applyFont="1" applyFill="1" applyBorder="1" applyAlignment="1">
      <alignment horizontal="left" vertical="center"/>
    </xf>
    <xf numFmtId="0" fontId="62" fillId="14" borderId="61" xfId="0" applyFont="1" applyFill="1" applyBorder="1" applyAlignment="1">
      <alignment horizontal="center" vertical="center"/>
    </xf>
    <xf numFmtId="0" fontId="62" fillId="14" borderId="140" xfId="0" applyFont="1" applyFill="1" applyBorder="1" applyAlignment="1">
      <alignment horizontal="center" vertical="center"/>
    </xf>
    <xf numFmtId="0" fontId="45" fillId="14" borderId="6" xfId="0" applyFont="1" applyFill="1" applyBorder="1" applyAlignment="1">
      <alignment horizontal="center" vertical="center"/>
    </xf>
    <xf numFmtId="0" fontId="35" fillId="11" borderId="6" xfId="0" applyFont="1" applyFill="1" applyBorder="1" applyAlignment="1">
      <alignment horizontal="center" vertical="center"/>
    </xf>
    <xf numFmtId="0" fontId="53" fillId="17" borderId="71" xfId="0" applyFont="1" applyFill="1" applyBorder="1" applyAlignment="1">
      <alignment horizontal="left" vertical="center"/>
    </xf>
    <xf numFmtId="0" fontId="63" fillId="0" borderId="48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5" fillId="0" borderId="52" xfId="0" applyFont="1" applyBorder="1" applyAlignment="1">
      <alignment horizontal="center" vertical="center"/>
    </xf>
    <xf numFmtId="0" fontId="64" fillId="0" borderId="47" xfId="0" applyFont="1" applyBorder="1" applyAlignment="1">
      <alignment horizontal="center" vertical="center"/>
    </xf>
    <xf numFmtId="0" fontId="64" fillId="0" borderId="10" xfId="0" applyFont="1" applyBorder="1" applyAlignment="1">
      <alignment horizontal="center" vertical="center"/>
    </xf>
    <xf numFmtId="0" fontId="17" fillId="16" borderId="54" xfId="0" applyFont="1" applyFill="1" applyBorder="1" applyAlignment="1">
      <alignment horizontal="center" vertical="center"/>
    </xf>
    <xf numFmtId="0" fontId="17" fillId="16" borderId="18" xfId="0" applyFont="1" applyFill="1" applyBorder="1" applyAlignment="1">
      <alignment horizontal="center" vertical="center"/>
    </xf>
    <xf numFmtId="0" fontId="17" fillId="16" borderId="50" xfId="0" applyFont="1" applyFill="1" applyBorder="1" applyAlignment="1">
      <alignment horizontal="center" vertical="center"/>
    </xf>
    <xf numFmtId="0" fontId="32" fillId="14" borderId="57" xfId="0" applyFont="1" applyFill="1" applyBorder="1" applyAlignment="1">
      <alignment horizontal="center" vertical="center"/>
    </xf>
    <xf numFmtId="0" fontId="42" fillId="0" borderId="142" xfId="0" applyFont="1" applyBorder="1" applyAlignment="1">
      <alignment horizontal="center" vertical="center"/>
    </xf>
    <xf numFmtId="0" fontId="28" fillId="19" borderId="148" xfId="0" applyFont="1" applyFill="1" applyBorder="1" applyAlignment="1">
      <alignment horizontal="center" vertical="center"/>
    </xf>
    <xf numFmtId="0" fontId="21" fillId="26" borderId="59" xfId="0" applyFont="1" applyFill="1" applyBorder="1" applyAlignment="1">
      <alignment horizontal="left" vertical="center"/>
    </xf>
    <xf numFmtId="0" fontId="39" fillId="26" borderId="34" xfId="0" applyFont="1" applyFill="1" applyBorder="1" applyAlignment="1">
      <alignment horizontal="center" vertical="center"/>
    </xf>
    <xf numFmtId="0" fontId="44" fillId="26" borderId="34" xfId="0" applyFont="1" applyFill="1" applyBorder="1" applyAlignment="1">
      <alignment horizontal="center" vertical="center"/>
    </xf>
    <xf numFmtId="0" fontId="45" fillId="26" borderId="35" xfId="0" applyFont="1" applyFill="1" applyBorder="1" applyAlignment="1">
      <alignment horizontal="center" vertical="center"/>
    </xf>
    <xf numFmtId="0" fontId="11" fillId="26" borderId="141" xfId="0" applyFont="1" applyFill="1" applyBorder="1" applyAlignment="1">
      <alignment horizontal="center" vertical="center"/>
    </xf>
    <xf numFmtId="0" fontId="12" fillId="26" borderId="59" xfId="0" applyFont="1" applyFill="1" applyBorder="1" applyAlignment="1">
      <alignment horizontal="center" vertical="center"/>
    </xf>
    <xf numFmtId="0" fontId="14" fillId="26" borderId="34" xfId="0" applyFont="1" applyFill="1" applyBorder="1" applyAlignment="1">
      <alignment horizontal="center" vertical="center"/>
    </xf>
    <xf numFmtId="0" fontId="12" fillId="26" borderId="34" xfId="0" applyFont="1" applyFill="1" applyBorder="1" applyAlignment="1">
      <alignment horizontal="center" vertical="center"/>
    </xf>
    <xf numFmtId="0" fontId="12" fillId="26" borderId="35" xfId="0" applyFont="1" applyFill="1" applyBorder="1" applyAlignment="1">
      <alignment horizontal="center" vertical="center"/>
    </xf>
    <xf numFmtId="0" fontId="17" fillId="26" borderId="36" xfId="0" applyFont="1" applyFill="1" applyBorder="1" applyAlignment="1">
      <alignment horizontal="center" vertical="center"/>
    </xf>
    <xf numFmtId="0" fontId="17" fillId="26" borderId="33" xfId="0" applyFont="1" applyFill="1" applyBorder="1" applyAlignment="1">
      <alignment horizontal="center" vertical="center"/>
    </xf>
    <xf numFmtId="0" fontId="17" fillId="26" borderId="34" xfId="0" applyFont="1" applyFill="1" applyBorder="1" applyAlignment="1">
      <alignment horizontal="center" vertical="center"/>
    </xf>
    <xf numFmtId="0" fontId="17" fillId="26" borderId="35" xfId="0" applyFont="1" applyFill="1" applyBorder="1" applyAlignment="1">
      <alignment horizontal="center" vertical="center"/>
    </xf>
    <xf numFmtId="0" fontId="17" fillId="26" borderId="37" xfId="0" applyFont="1" applyFill="1" applyBorder="1" applyAlignment="1">
      <alignment horizontal="center" vertical="center"/>
    </xf>
    <xf numFmtId="0" fontId="17" fillId="26" borderId="59" xfId="0" applyFont="1" applyFill="1" applyBorder="1" applyAlignment="1">
      <alignment horizontal="center" vertical="center"/>
    </xf>
    <xf numFmtId="0" fontId="26" fillId="26" borderId="60" xfId="0" applyFont="1" applyFill="1" applyBorder="1" applyAlignment="1">
      <alignment horizontal="center" vertical="center"/>
    </xf>
    <xf numFmtId="0" fontId="17" fillId="26" borderId="0" xfId="0" applyFont="1" applyFill="1" applyAlignment="1">
      <alignment horizontal="center" vertical="center"/>
    </xf>
    <xf numFmtId="0" fontId="17" fillId="26" borderId="40" xfId="0" applyFont="1" applyFill="1" applyBorder="1" applyAlignment="1">
      <alignment horizontal="center" vertical="center"/>
    </xf>
    <xf numFmtId="0" fontId="65" fillId="0" borderId="57" xfId="0" applyFont="1" applyBorder="1" applyAlignment="1">
      <alignment horizontal="center" vertical="center"/>
    </xf>
    <xf numFmtId="0" fontId="68" fillId="25" borderId="139" xfId="0" applyFont="1" applyFill="1" applyBorder="1"/>
    <xf numFmtId="0" fontId="68" fillId="21" borderId="46" xfId="0" applyFont="1" applyFill="1" applyBorder="1" applyAlignment="1">
      <alignment horizontal="left" vertical="center"/>
    </xf>
    <xf numFmtId="0" fontId="12" fillId="14" borderId="136" xfId="0" applyFont="1" applyFill="1" applyBorder="1" applyAlignment="1">
      <alignment horizontal="center" vertical="center"/>
    </xf>
    <xf numFmtId="0" fontId="12" fillId="14" borderId="142" xfId="0" applyFont="1" applyFill="1" applyBorder="1" applyAlignment="1">
      <alignment horizontal="center" vertical="center"/>
    </xf>
    <xf numFmtId="0" fontId="17" fillId="14" borderId="144" xfId="0" applyFont="1" applyFill="1" applyBorder="1" applyAlignment="1">
      <alignment horizontal="center" vertical="center"/>
    </xf>
    <xf numFmtId="0" fontId="17" fillId="14" borderId="57" xfId="0" applyFont="1" applyFill="1" applyBorder="1" applyAlignment="1">
      <alignment horizontal="center" vertical="center"/>
    </xf>
    <xf numFmtId="0" fontId="17" fillId="14" borderId="142" xfId="0" applyFont="1" applyFill="1" applyBorder="1" applyAlignment="1">
      <alignment horizontal="center" vertical="center"/>
    </xf>
    <xf numFmtId="0" fontId="17" fillId="14" borderId="146" xfId="0" applyFont="1" applyFill="1" applyBorder="1" applyAlignment="1">
      <alignment horizontal="center" vertical="center"/>
    </xf>
    <xf numFmtId="0" fontId="17" fillId="14" borderId="136" xfId="0" applyFont="1" applyFill="1" applyBorder="1" applyAlignment="1">
      <alignment horizontal="center" vertical="center"/>
    </xf>
    <xf numFmtId="0" fontId="17" fillId="14" borderId="147" xfId="0" applyFont="1" applyFill="1" applyBorder="1" applyAlignment="1">
      <alignment horizontal="center" vertical="center"/>
    </xf>
    <xf numFmtId="0" fontId="12" fillId="11" borderId="136" xfId="0" applyFont="1" applyFill="1" applyBorder="1" applyAlignment="1">
      <alignment horizontal="center" vertical="center"/>
    </xf>
    <xf numFmtId="0" fontId="17" fillId="11" borderId="145" xfId="0" applyFont="1" applyFill="1" applyBorder="1" applyAlignment="1">
      <alignment horizontal="center" vertical="center"/>
    </xf>
    <xf numFmtId="0" fontId="17" fillId="11" borderId="143" xfId="0" applyFont="1" applyFill="1" applyBorder="1" applyAlignment="1">
      <alignment horizontal="center" vertical="center"/>
    </xf>
    <xf numFmtId="0" fontId="17" fillId="11" borderId="142" xfId="0" applyFont="1" applyFill="1" applyBorder="1" applyAlignment="1">
      <alignment horizontal="center" vertical="center"/>
    </xf>
    <xf numFmtId="0" fontId="64" fillId="0" borderId="18" xfId="0" applyFont="1" applyBorder="1" applyAlignment="1">
      <alignment horizontal="center" vertical="center"/>
    </xf>
    <xf numFmtId="9" fontId="69" fillId="0" borderId="62" xfId="0" applyNumberFormat="1" applyFont="1" applyBorder="1" applyAlignment="1">
      <alignment horizontal="center" vertical="center"/>
    </xf>
    <xf numFmtId="0" fontId="12" fillId="16" borderId="149" xfId="0" applyFont="1" applyFill="1" applyBorder="1" applyAlignment="1">
      <alignment horizontal="center" vertical="center"/>
    </xf>
    <xf numFmtId="0" fontId="64" fillId="11" borderId="51" xfId="0" applyFont="1" applyFill="1" applyBorder="1" applyAlignment="1">
      <alignment horizontal="center" vertical="center"/>
    </xf>
    <xf numFmtId="0" fontId="22" fillId="13" borderId="10" xfId="0" applyFont="1" applyFill="1" applyBorder="1" applyAlignment="1">
      <alignment horizontal="center" vertical="center"/>
    </xf>
    <xf numFmtId="0" fontId="22" fillId="13" borderId="49" xfId="0" applyFont="1" applyFill="1" applyBorder="1" applyAlignment="1">
      <alignment horizontal="center" vertical="center"/>
    </xf>
    <xf numFmtId="0" fontId="22" fillId="13" borderId="16" xfId="0" applyFont="1" applyFill="1" applyBorder="1" applyAlignment="1">
      <alignment horizontal="center" vertical="center"/>
    </xf>
    <xf numFmtId="0" fontId="39" fillId="13" borderId="10" xfId="0" applyFont="1" applyFill="1" applyBorder="1" applyAlignment="1">
      <alignment horizontal="center" vertical="center"/>
    </xf>
    <xf numFmtId="0" fontId="39" fillId="13" borderId="16" xfId="0" applyFont="1" applyFill="1" applyBorder="1" applyAlignment="1">
      <alignment horizontal="center" vertical="center"/>
    </xf>
    <xf numFmtId="0" fontId="39" fillId="13" borderId="60" xfId="0" applyFont="1" applyFill="1" applyBorder="1" applyAlignment="1">
      <alignment horizontal="center" vertical="center"/>
    </xf>
    <xf numFmtId="0" fontId="39" fillId="13" borderId="57" xfId="0" applyFont="1" applyFill="1" applyBorder="1" applyAlignment="1">
      <alignment horizontal="center" vertical="center"/>
    </xf>
    <xf numFmtId="0" fontId="70" fillId="11" borderId="10" xfId="0" applyFont="1" applyFill="1" applyBorder="1" applyAlignment="1">
      <alignment horizontal="center" vertical="center"/>
    </xf>
    <xf numFmtId="0" fontId="26" fillId="10" borderId="6" xfId="0" applyFont="1" applyFill="1" applyBorder="1" applyAlignment="1">
      <alignment horizontal="center" vertical="center"/>
    </xf>
    <xf numFmtId="0" fontId="30" fillId="16" borderId="48" xfId="0" applyFont="1" applyFill="1" applyBorder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71" fillId="10" borderId="10" xfId="0" applyFont="1" applyFill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22" fillId="14" borderId="10" xfId="0" applyFont="1" applyFill="1" applyBorder="1" applyAlignment="1">
      <alignment horizontal="center" vertical="center"/>
    </xf>
    <xf numFmtId="0" fontId="52" fillId="14" borderId="134" xfId="0" applyFont="1" applyFill="1" applyBorder="1" applyAlignment="1">
      <alignment horizontal="center" vertical="center"/>
    </xf>
    <xf numFmtId="0" fontId="22" fillId="14" borderId="72" xfId="0" applyFont="1" applyFill="1" applyBorder="1" applyAlignment="1">
      <alignment horizontal="center" vertical="center"/>
    </xf>
    <xf numFmtId="0" fontId="72" fillId="0" borderId="1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49" fillId="13" borderId="0" xfId="0" applyFont="1" applyFill="1" applyAlignment="1">
      <alignment horizontal="center" vertical="center"/>
    </xf>
    <xf numFmtId="0" fontId="50" fillId="13" borderId="2" xfId="0" applyFont="1" applyFill="1" applyBorder="1" applyAlignment="1">
      <alignment horizontal="center" vertical="center"/>
    </xf>
    <xf numFmtId="0" fontId="50" fillId="13" borderId="117" xfId="0" applyFont="1" applyFill="1" applyBorder="1" applyAlignment="1">
      <alignment horizontal="center" vertical="center"/>
    </xf>
    <xf numFmtId="0" fontId="39" fillId="14" borderId="16" xfId="0" applyFont="1" applyFill="1" applyBorder="1" applyAlignment="1">
      <alignment horizontal="center" vertical="center"/>
    </xf>
    <xf numFmtId="0" fontId="39" fillId="14" borderId="10" xfId="0" applyFont="1" applyFill="1" applyBorder="1" applyAlignment="1">
      <alignment horizontal="center" vertical="center"/>
    </xf>
    <xf numFmtId="166" fontId="3" fillId="0" borderId="111" xfId="2" applyNumberFormat="1" applyFont="1" applyBorder="1" applyAlignment="1">
      <alignment horizontal="center"/>
    </xf>
    <xf numFmtId="166" fontId="3" fillId="0" borderId="112" xfId="2" applyNumberFormat="1" applyFont="1" applyBorder="1" applyAlignment="1">
      <alignment horizontal="center"/>
    </xf>
    <xf numFmtId="166" fontId="3" fillId="0" borderId="113" xfId="2" applyNumberFormat="1" applyFont="1" applyBorder="1" applyAlignment="1">
      <alignment horizontal="center"/>
    </xf>
    <xf numFmtId="0" fontId="14" fillId="6" borderId="16" xfId="2" applyFont="1" applyFill="1" applyBorder="1" applyAlignment="1">
      <alignment horizontal="center" textRotation="90"/>
    </xf>
    <xf numFmtId="0" fontId="14" fillId="6" borderId="25" xfId="2" applyFont="1" applyFill="1" applyBorder="1" applyAlignment="1">
      <alignment horizontal="center" textRotation="90"/>
    </xf>
    <xf numFmtId="0" fontId="12" fillId="6" borderId="10" xfId="2" applyFont="1" applyFill="1" applyBorder="1" applyAlignment="1">
      <alignment horizontal="center" textRotation="90"/>
    </xf>
    <xf numFmtId="0" fontId="12" fillId="6" borderId="20" xfId="2" applyFont="1" applyFill="1" applyBorder="1" applyAlignment="1">
      <alignment horizontal="center" textRotation="90"/>
    </xf>
    <xf numFmtId="0" fontId="12" fillId="6" borderId="13" xfId="2" applyFont="1" applyFill="1" applyBorder="1" applyAlignment="1">
      <alignment horizontal="center" textRotation="90"/>
    </xf>
    <xf numFmtId="0" fontId="12" fillId="6" borderId="22" xfId="2" applyFont="1" applyFill="1" applyBorder="1" applyAlignment="1">
      <alignment horizontal="center" textRotation="90"/>
    </xf>
    <xf numFmtId="0" fontId="13" fillId="7" borderId="17" xfId="2" applyFont="1" applyFill="1" applyBorder="1" applyAlignment="1">
      <alignment horizontal="center" textRotation="90"/>
    </xf>
    <xf numFmtId="0" fontId="13" fillId="7" borderId="27" xfId="2" applyFont="1" applyFill="1" applyBorder="1" applyAlignment="1">
      <alignment horizontal="center" textRotation="90"/>
    </xf>
    <xf numFmtId="0" fontId="10" fillId="7" borderId="10" xfId="2" applyFont="1" applyFill="1" applyBorder="1" applyAlignment="1">
      <alignment horizontal="center" textRotation="90"/>
    </xf>
    <xf numFmtId="0" fontId="2" fillId="7" borderId="20" xfId="2" applyFill="1" applyBorder="1" applyAlignment="1">
      <alignment horizontal="center" textRotation="90"/>
    </xf>
    <xf numFmtId="0" fontId="19" fillId="6" borderId="20" xfId="2" applyFont="1" applyFill="1" applyBorder="1" applyAlignment="1">
      <alignment horizontal="center" textRotation="90"/>
    </xf>
    <xf numFmtId="0" fontId="13" fillId="7" borderId="16" xfId="2" applyFont="1" applyFill="1" applyBorder="1" applyAlignment="1">
      <alignment horizontal="center" textRotation="90"/>
    </xf>
    <xf numFmtId="0" fontId="13" fillId="7" borderId="25" xfId="2" applyFont="1" applyFill="1" applyBorder="1" applyAlignment="1">
      <alignment horizontal="center" textRotation="90"/>
    </xf>
    <xf numFmtId="0" fontId="10" fillId="7" borderId="18" xfId="2" applyFont="1" applyFill="1" applyBorder="1" applyAlignment="1">
      <alignment horizontal="center" textRotation="90"/>
    </xf>
    <xf numFmtId="0" fontId="10" fillId="7" borderId="28" xfId="2" applyFont="1" applyFill="1" applyBorder="1" applyAlignment="1">
      <alignment horizontal="center" textRotation="90"/>
    </xf>
    <xf numFmtId="0" fontId="3" fillId="0" borderId="105" xfId="2" applyFont="1" applyBorder="1" applyAlignment="1">
      <alignment horizontal="center"/>
    </xf>
    <xf numFmtId="0" fontId="3" fillId="0" borderId="106" xfId="2" applyFont="1" applyBorder="1" applyAlignment="1">
      <alignment horizontal="center"/>
    </xf>
    <xf numFmtId="0" fontId="3" fillId="0" borderId="107" xfId="2" applyFont="1" applyBorder="1" applyAlignment="1">
      <alignment horizontal="center"/>
    </xf>
    <xf numFmtId="165" fontId="3" fillId="0" borderId="109" xfId="2" applyNumberFormat="1" applyFont="1" applyBorder="1" applyAlignment="1">
      <alignment horizontal="center"/>
    </xf>
    <xf numFmtId="165" fontId="3" fillId="0" borderId="0" xfId="2" applyNumberFormat="1" applyFont="1" applyAlignment="1">
      <alignment horizontal="center"/>
    </xf>
    <xf numFmtId="165" fontId="3" fillId="0" borderId="110" xfId="2" applyNumberFormat="1" applyFont="1" applyBorder="1" applyAlignment="1">
      <alignment horizontal="center"/>
    </xf>
    <xf numFmtId="0" fontId="10" fillId="7" borderId="16" xfId="2" applyFont="1" applyFill="1" applyBorder="1" applyAlignment="1">
      <alignment horizontal="center" textRotation="90"/>
    </xf>
    <xf numFmtId="0" fontId="10" fillId="7" borderId="25" xfId="2" applyFont="1" applyFill="1" applyBorder="1" applyAlignment="1">
      <alignment horizontal="center" textRotation="90"/>
    </xf>
    <xf numFmtId="0" fontId="12" fillId="5" borderId="10" xfId="2" applyFont="1" applyFill="1" applyBorder="1" applyAlignment="1">
      <alignment horizontal="center" textRotation="90"/>
    </xf>
    <xf numFmtId="0" fontId="12" fillId="5" borderId="20" xfId="2" applyFont="1" applyFill="1" applyBorder="1" applyAlignment="1">
      <alignment horizontal="center" textRotation="90"/>
    </xf>
    <xf numFmtId="0" fontId="5" fillId="2" borderId="1" xfId="1" applyFont="1" applyBorder="1" applyAlignment="1">
      <alignment horizontal="center"/>
    </xf>
    <xf numFmtId="0" fontId="5" fillId="2" borderId="2" xfId="1" applyFont="1" applyBorder="1" applyAlignment="1">
      <alignment horizontal="center"/>
    </xf>
    <xf numFmtId="0" fontId="5" fillId="2" borderId="3" xfId="1" applyFont="1" applyBorder="1" applyAlignment="1">
      <alignment horizontal="center"/>
    </xf>
    <xf numFmtId="0" fontId="5" fillId="2" borderId="4" xfId="1" applyFont="1" applyBorder="1" applyAlignment="1">
      <alignment horizontal="center"/>
    </xf>
    <xf numFmtId="164" fontId="7" fillId="0" borderId="6" xfId="2" applyNumberFormat="1" applyFont="1" applyBorder="1" applyAlignment="1">
      <alignment horizontal="center" vertical="center"/>
    </xf>
    <xf numFmtId="164" fontId="7" fillId="0" borderId="7" xfId="2" applyNumberFormat="1" applyFont="1" applyBorder="1" applyAlignment="1">
      <alignment horizontal="center" vertical="center"/>
    </xf>
    <xf numFmtId="164" fontId="7" fillId="0" borderId="8" xfId="2" applyNumberFormat="1" applyFont="1" applyBorder="1" applyAlignment="1">
      <alignment horizontal="center" vertical="center"/>
    </xf>
    <xf numFmtId="0" fontId="8" fillId="3" borderId="9" xfId="2" applyFont="1" applyFill="1" applyBorder="1" applyAlignment="1">
      <alignment horizontal="center" vertical="center"/>
    </xf>
    <xf numFmtId="0" fontId="8" fillId="3" borderId="10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8" fillId="5" borderId="9" xfId="2" applyFont="1" applyFill="1" applyBorder="1" applyAlignment="1">
      <alignment horizontal="center" vertical="center"/>
    </xf>
    <xf numFmtId="0" fontId="8" fillId="5" borderId="10" xfId="2" applyFont="1" applyFill="1" applyBorder="1" applyAlignment="1">
      <alignment horizontal="center" vertical="center"/>
    </xf>
    <xf numFmtId="0" fontId="8" fillId="5" borderId="6" xfId="2" applyFont="1" applyFill="1" applyBorder="1" applyAlignment="1">
      <alignment horizontal="center" vertical="center"/>
    </xf>
    <xf numFmtId="0" fontId="8" fillId="6" borderId="12" xfId="2" applyFont="1" applyFill="1" applyBorder="1" applyAlignment="1">
      <alignment horizontal="center" vertical="center"/>
    </xf>
    <xf numFmtId="0" fontId="8" fillId="6" borderId="9" xfId="2" applyFont="1" applyFill="1" applyBorder="1" applyAlignment="1">
      <alignment horizontal="center" vertical="center"/>
    </xf>
    <xf numFmtId="0" fontId="8" fillId="6" borderId="10" xfId="2" applyFont="1" applyFill="1" applyBorder="1" applyAlignment="1">
      <alignment horizontal="center" vertical="center"/>
    </xf>
    <xf numFmtId="0" fontId="8" fillId="6" borderId="13" xfId="2" applyFont="1" applyFill="1" applyBorder="1" applyAlignment="1">
      <alignment horizontal="center" vertical="center"/>
    </xf>
    <xf numFmtId="0" fontId="9" fillId="7" borderId="14" xfId="2" applyFont="1" applyFill="1" applyBorder="1" applyAlignment="1">
      <alignment horizontal="center" vertical="center"/>
    </xf>
    <xf numFmtId="0" fontId="9" fillId="7" borderId="7" xfId="2" applyFont="1" applyFill="1" applyBorder="1" applyAlignment="1">
      <alignment horizontal="center" vertical="center"/>
    </xf>
    <xf numFmtId="0" fontId="9" fillId="7" borderId="15" xfId="2" applyFont="1" applyFill="1" applyBorder="1" applyAlignment="1">
      <alignment horizontal="center" vertical="center"/>
    </xf>
    <xf numFmtId="0" fontId="13" fillId="4" borderId="11" xfId="2" applyFont="1" applyFill="1" applyBorder="1" applyAlignment="1">
      <alignment horizontal="center" textRotation="90" wrapText="1"/>
    </xf>
    <xf numFmtId="0" fontId="18" fillId="4" borderId="24" xfId="2" applyFont="1" applyFill="1" applyBorder="1" applyAlignment="1">
      <alignment horizontal="center" textRotation="90" wrapText="1"/>
    </xf>
    <xf numFmtId="0" fontId="12" fillId="5" borderId="9" xfId="2" applyFont="1" applyFill="1" applyBorder="1" applyAlignment="1">
      <alignment horizontal="center" textRotation="90"/>
    </xf>
    <xf numFmtId="0" fontId="12" fillId="5" borderId="23" xfId="2" applyFont="1" applyFill="1" applyBorder="1" applyAlignment="1">
      <alignment horizontal="center" textRotation="90"/>
    </xf>
    <xf numFmtId="0" fontId="12" fillId="5" borderId="16" xfId="2" applyFont="1" applyFill="1" applyBorder="1" applyAlignment="1">
      <alignment horizontal="center" textRotation="90"/>
    </xf>
    <xf numFmtId="0" fontId="12" fillId="5" borderId="25" xfId="2" applyFont="1" applyFill="1" applyBorder="1" applyAlignment="1">
      <alignment horizontal="center" textRotation="90"/>
    </xf>
    <xf numFmtId="0" fontId="12" fillId="5" borderId="6" xfId="2" applyFont="1" applyFill="1" applyBorder="1" applyAlignment="1">
      <alignment horizontal="center" textRotation="90"/>
    </xf>
    <xf numFmtId="0" fontId="12" fillId="5" borderId="21" xfId="2" applyFont="1" applyFill="1" applyBorder="1" applyAlignment="1">
      <alignment horizontal="center" textRotation="90"/>
    </xf>
    <xf numFmtId="0" fontId="12" fillId="6" borderId="12" xfId="2" applyFont="1" applyFill="1" applyBorder="1" applyAlignment="1">
      <alignment horizontal="center" textRotation="90"/>
    </xf>
    <xf numFmtId="0" fontId="12" fillId="6" borderId="26" xfId="2" applyFont="1" applyFill="1" applyBorder="1" applyAlignment="1">
      <alignment horizontal="center" textRotation="90"/>
    </xf>
    <xf numFmtId="0" fontId="12" fillId="6" borderId="16" xfId="2" applyFont="1" applyFill="1" applyBorder="1" applyAlignment="1">
      <alignment horizontal="center" textRotation="90"/>
    </xf>
    <xf numFmtId="0" fontId="12" fillId="6" borderId="25" xfId="2" applyFont="1" applyFill="1" applyBorder="1" applyAlignment="1">
      <alignment horizontal="center" textRotation="90"/>
    </xf>
    <xf numFmtId="0" fontId="57" fillId="13" borderId="46" xfId="0" applyFont="1" applyFill="1" applyBorder="1" applyAlignment="1">
      <alignment horizontal="left" vertical="center"/>
    </xf>
    <xf numFmtId="0" fontId="59" fillId="13" borderId="46" xfId="0" applyFont="1" applyFill="1" applyBorder="1" applyAlignment="1">
      <alignment horizontal="left" vertical="center"/>
    </xf>
    <xf numFmtId="0" fontId="57" fillId="17" borderId="59" xfId="0" applyFont="1" applyFill="1" applyBorder="1" applyAlignment="1">
      <alignment horizontal="left" vertical="center"/>
    </xf>
    <xf numFmtId="0" fontId="57" fillId="17" borderId="46" xfId="0" applyFont="1" applyFill="1" applyBorder="1" applyAlignment="1">
      <alignment horizontal="left" vertical="center"/>
    </xf>
    <xf numFmtId="0" fontId="57" fillId="17" borderId="71" xfId="0" applyFont="1" applyFill="1" applyBorder="1" applyAlignment="1">
      <alignment horizontal="left" vertical="center"/>
    </xf>
    <xf numFmtId="0" fontId="66" fillId="21" borderId="46" xfId="0" applyFont="1" applyFill="1" applyBorder="1" applyAlignment="1">
      <alignment horizontal="left" vertical="center"/>
    </xf>
    <xf numFmtId="0" fontId="57" fillId="21" borderId="55" xfId="0" applyFont="1" applyFill="1" applyBorder="1" applyAlignment="1">
      <alignment horizontal="left" vertical="center"/>
    </xf>
    <xf numFmtId="0" fontId="57" fillId="21" borderId="46" xfId="0" applyFont="1" applyFill="1" applyBorder="1" applyAlignment="1">
      <alignment horizontal="left" vertical="center"/>
    </xf>
  </cellXfs>
  <cellStyles count="3">
    <cellStyle name="60% - Akzent1" xfId="1" xr:uid="{82B45F03-0599-41B0-B7EF-76AA03CDDC2F}"/>
    <cellStyle name="Normal" xfId="0" builtinId="0"/>
    <cellStyle name="Normal 2" xfId="2" xr:uid="{29EA0646-1525-476D-A7A5-9D14ADF840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F71A-B9CE-4256-92A8-1A3D0CBAE6B4}">
  <sheetPr>
    <pageSetUpPr fitToPage="1"/>
  </sheetPr>
  <dimension ref="A1:AQ93"/>
  <sheetViews>
    <sheetView tabSelected="1" zoomScaleNormal="100" workbookViewId="0">
      <pane ySplit="4" topLeftCell="A5" activePane="bottomLeft" state="frozen"/>
      <selection pane="bottomLeft" activeCell="AI9" sqref="AH7:AI9"/>
    </sheetView>
  </sheetViews>
  <sheetFormatPr defaultColWidth="9.140625" defaultRowHeight="15" x14ac:dyDescent="0.25"/>
  <cols>
    <col min="1" max="1" width="23.85546875" style="1" customWidth="1"/>
    <col min="2" max="2" width="7.5703125" style="1" bestFit="1" customWidth="1"/>
    <col min="3" max="3" width="11.42578125" style="1" customWidth="1"/>
    <col min="4" max="4" width="5.5703125" style="1" customWidth="1"/>
    <col min="5" max="5" width="13.28515625" style="1" bestFit="1" customWidth="1"/>
    <col min="6" max="6" width="4.42578125" style="1" bestFit="1" customWidth="1"/>
    <col min="7" max="7" width="5.7109375" style="1" customWidth="1"/>
    <col min="8" max="9" width="4.42578125" style="1" bestFit="1" customWidth="1"/>
    <col min="10" max="10" width="4.42578125" style="1" customWidth="1"/>
    <col min="11" max="11" width="4.42578125" style="1" bestFit="1" customWidth="1"/>
    <col min="12" max="12" width="3.5703125" style="1" customWidth="1"/>
    <col min="13" max="13" width="3.85546875" style="1" customWidth="1"/>
    <col min="14" max="14" width="4.5703125" style="1" bestFit="1" customWidth="1"/>
    <col min="15" max="15" width="3.85546875" style="1" customWidth="1"/>
    <col min="16" max="17" width="4.5703125" style="1" bestFit="1" customWidth="1"/>
    <col min="18" max="18" width="4.5703125" style="1" customWidth="1"/>
    <col min="19" max="19" width="3.85546875" style="1" customWidth="1"/>
    <col min="20" max="27" width="3" style="1" customWidth="1"/>
    <col min="28" max="28" width="3.140625" style="1" bestFit="1" customWidth="1"/>
    <col min="29" max="29" width="3.140625" style="1" customWidth="1"/>
    <col min="30" max="30" width="3" style="1" bestFit="1" customWidth="1"/>
    <col min="31" max="31" width="3.140625" style="1" bestFit="1" customWidth="1"/>
    <col min="32" max="16384" width="9.140625" style="1"/>
  </cols>
  <sheetData>
    <row r="1" spans="1:37" ht="15" customHeight="1" thickTop="1" x14ac:dyDescent="0.25">
      <c r="A1" s="566" t="s">
        <v>0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7"/>
      <c r="W1" s="567"/>
      <c r="X1" s="567"/>
      <c r="Y1" s="567"/>
      <c r="Z1" s="567"/>
      <c r="AA1" s="567"/>
      <c r="AB1" s="567"/>
      <c r="AC1" s="568"/>
      <c r="AD1" s="568"/>
      <c r="AE1" s="569"/>
    </row>
    <row r="2" spans="1:37" ht="26.25" x14ac:dyDescent="0.25">
      <c r="A2" s="2" t="s">
        <v>1</v>
      </c>
      <c r="B2" s="570">
        <v>45666</v>
      </c>
      <c r="C2" s="571"/>
      <c r="D2" s="571"/>
      <c r="E2" s="572"/>
      <c r="F2" s="573" t="s">
        <v>2</v>
      </c>
      <c r="G2" s="574"/>
      <c r="H2" s="574"/>
      <c r="I2" s="574"/>
      <c r="J2" s="575"/>
      <c r="K2" s="575"/>
      <c r="L2" s="3" t="s">
        <v>3</v>
      </c>
      <c r="M2" s="576" t="s">
        <v>4</v>
      </c>
      <c r="N2" s="577"/>
      <c r="O2" s="577"/>
      <c r="P2" s="577"/>
      <c r="Q2" s="577"/>
      <c r="R2" s="578"/>
      <c r="S2" s="578"/>
      <c r="T2" s="579" t="s">
        <v>5</v>
      </c>
      <c r="U2" s="580"/>
      <c r="V2" s="581"/>
      <c r="W2" s="581"/>
      <c r="X2" s="581"/>
      <c r="Y2" s="581"/>
      <c r="Z2" s="582"/>
      <c r="AA2" s="583" t="s">
        <v>6</v>
      </c>
      <c r="AB2" s="584"/>
      <c r="AC2" s="584"/>
      <c r="AD2" s="584"/>
      <c r="AE2" s="585"/>
    </row>
    <row r="3" spans="1:37" ht="12" customHeight="1" x14ac:dyDescent="0.25">
      <c r="A3" s="4"/>
      <c r="B3" s="5"/>
      <c r="C3" s="5"/>
      <c r="D3" s="6"/>
      <c r="E3" s="7"/>
      <c r="F3" s="8">
        <v>220</v>
      </c>
      <c r="G3" s="9">
        <v>320</v>
      </c>
      <c r="H3" s="9">
        <v>330</v>
      </c>
      <c r="I3" s="9">
        <v>343</v>
      </c>
      <c r="J3" s="10">
        <v>350</v>
      </c>
      <c r="K3" s="10">
        <v>777</v>
      </c>
      <c r="L3" s="586" t="s">
        <v>7</v>
      </c>
      <c r="M3" s="588" t="s">
        <v>8</v>
      </c>
      <c r="N3" s="564" t="s">
        <v>9</v>
      </c>
      <c r="O3" s="590" t="s">
        <v>10</v>
      </c>
      <c r="P3" s="564" t="s">
        <v>11</v>
      </c>
      <c r="Q3" s="564" t="s">
        <v>12</v>
      </c>
      <c r="R3" s="564" t="s">
        <v>13</v>
      </c>
      <c r="S3" s="592" t="s">
        <v>14</v>
      </c>
      <c r="T3" s="594" t="s">
        <v>15</v>
      </c>
      <c r="U3" s="596" t="s">
        <v>16</v>
      </c>
      <c r="V3" s="543" t="s">
        <v>17</v>
      </c>
      <c r="W3" s="543" t="s">
        <v>18</v>
      </c>
      <c r="X3" s="541" t="s">
        <v>13</v>
      </c>
      <c r="Y3" s="543" t="s">
        <v>14</v>
      </c>
      <c r="Z3" s="545" t="s">
        <v>8</v>
      </c>
      <c r="AA3" s="547" t="s">
        <v>19</v>
      </c>
      <c r="AB3" s="549" t="s">
        <v>20</v>
      </c>
      <c r="AC3" s="562" t="s">
        <v>21</v>
      </c>
      <c r="AD3" s="552" t="s">
        <v>22</v>
      </c>
      <c r="AE3" s="554" t="s">
        <v>23</v>
      </c>
    </row>
    <row r="4" spans="1:37" ht="40.5" customHeight="1" x14ac:dyDescent="0.25">
      <c r="A4" s="11" t="s">
        <v>24</v>
      </c>
      <c r="B4" s="12" t="s">
        <v>25</v>
      </c>
      <c r="C4" s="13" t="s">
        <v>26</v>
      </c>
      <c r="D4" s="14"/>
      <c r="E4" s="15" t="s">
        <v>27</v>
      </c>
      <c r="F4" s="16"/>
      <c r="G4" s="17" t="s">
        <v>28</v>
      </c>
      <c r="H4" s="18" t="s">
        <v>3</v>
      </c>
      <c r="I4" s="19"/>
      <c r="J4" s="20"/>
      <c r="K4" s="20"/>
      <c r="L4" s="587"/>
      <c r="M4" s="589"/>
      <c r="N4" s="565"/>
      <c r="O4" s="591"/>
      <c r="P4" s="565"/>
      <c r="Q4" s="565"/>
      <c r="R4" s="565"/>
      <c r="S4" s="593"/>
      <c r="T4" s="595"/>
      <c r="U4" s="597"/>
      <c r="V4" s="544"/>
      <c r="W4" s="551"/>
      <c r="X4" s="542"/>
      <c r="Y4" s="544"/>
      <c r="Z4" s="546" t="s">
        <v>29</v>
      </c>
      <c r="AA4" s="548"/>
      <c r="AB4" s="550"/>
      <c r="AC4" s="563"/>
      <c r="AD4" s="553"/>
      <c r="AE4" s="555"/>
    </row>
    <row r="5" spans="1:37" ht="20.100000000000001" customHeight="1" x14ac:dyDescent="0.25">
      <c r="A5" s="414" t="s">
        <v>30</v>
      </c>
      <c r="B5" s="533" t="s">
        <v>31</v>
      </c>
      <c r="C5" s="21"/>
      <c r="D5" s="22"/>
      <c r="E5" s="23"/>
      <c r="F5" s="244" t="s">
        <v>32</v>
      </c>
      <c r="G5" s="443" t="s">
        <v>33</v>
      </c>
      <c r="H5" s="246" t="s">
        <v>32</v>
      </c>
      <c r="I5" s="245" t="s">
        <v>32</v>
      </c>
      <c r="J5" s="247" t="s">
        <v>32</v>
      </c>
      <c r="K5" s="440" t="s">
        <v>32</v>
      </c>
      <c r="L5" s="249"/>
      <c r="M5" s="24" t="s">
        <v>34</v>
      </c>
      <c r="N5" s="27" t="s">
        <v>34</v>
      </c>
      <c r="O5" s="25" t="s">
        <v>34</v>
      </c>
      <c r="P5" s="27"/>
      <c r="Q5" s="25"/>
      <c r="R5" s="28" t="s">
        <v>34</v>
      </c>
      <c r="S5" s="26" t="s">
        <v>34</v>
      </c>
      <c r="T5" s="29" t="s">
        <v>34</v>
      </c>
      <c r="U5" s="30" t="s">
        <v>34</v>
      </c>
      <c r="V5" s="25"/>
      <c r="W5" s="27" t="s">
        <v>34</v>
      </c>
      <c r="X5" s="25"/>
      <c r="Y5" s="27" t="s">
        <v>34</v>
      </c>
      <c r="Z5" s="31" t="s">
        <v>34</v>
      </c>
      <c r="AA5" s="32"/>
      <c r="AB5" s="33"/>
      <c r="AC5" s="34" t="s">
        <v>34</v>
      </c>
      <c r="AD5" s="35" t="s">
        <v>34</v>
      </c>
      <c r="AE5" s="36"/>
    </row>
    <row r="6" spans="1:37" ht="20.100000000000001" customHeight="1" thickTop="1" thickBot="1" x14ac:dyDescent="0.3">
      <c r="A6" s="413" t="s">
        <v>35</v>
      </c>
      <c r="B6" s="534" t="s">
        <v>36</v>
      </c>
      <c r="C6" s="37"/>
      <c r="D6" s="38" t="s">
        <v>37</v>
      </c>
      <c r="E6" s="39"/>
      <c r="F6" s="244" t="s">
        <v>38</v>
      </c>
      <c r="G6" s="245" t="s">
        <v>39</v>
      </c>
      <c r="H6" s="246" t="s">
        <v>38</v>
      </c>
      <c r="I6" s="245" t="s">
        <v>38</v>
      </c>
      <c r="J6" s="247"/>
      <c r="K6" s="248"/>
      <c r="L6" s="249"/>
      <c r="M6" s="250" t="s">
        <v>34</v>
      </c>
      <c r="N6" s="251" t="s">
        <v>34</v>
      </c>
      <c r="O6" s="252" t="s">
        <v>34</v>
      </c>
      <c r="P6" s="251" t="s">
        <v>34</v>
      </c>
      <c r="Q6" s="252" t="s">
        <v>34</v>
      </c>
      <c r="R6" s="43"/>
      <c r="S6" s="41"/>
      <c r="T6" s="44"/>
      <c r="U6" s="45"/>
      <c r="V6" s="40"/>
      <c r="W6" s="42"/>
      <c r="X6" s="40"/>
      <c r="Y6" s="42"/>
      <c r="Z6" s="46"/>
      <c r="AA6" s="44"/>
      <c r="AB6" s="47"/>
      <c r="AC6" s="40"/>
      <c r="AD6" s="48"/>
      <c r="AE6" s="49"/>
    </row>
    <row r="7" spans="1:37" ht="20.100000000000001" customHeight="1" thickTop="1" x14ac:dyDescent="0.25">
      <c r="A7" s="431" t="s">
        <v>40</v>
      </c>
      <c r="B7" s="515" t="s">
        <v>41</v>
      </c>
      <c r="C7" s="50"/>
      <c r="D7" s="97" t="s">
        <v>42</v>
      </c>
      <c r="E7" s="52"/>
      <c r="F7" s="53" t="s">
        <v>38</v>
      </c>
      <c r="G7" s="54" t="s">
        <v>39</v>
      </c>
      <c r="H7" s="55" t="s">
        <v>38</v>
      </c>
      <c r="I7" s="54" t="s">
        <v>38</v>
      </c>
      <c r="J7" s="215" t="s">
        <v>38</v>
      </c>
      <c r="K7" s="57" t="s">
        <v>38</v>
      </c>
      <c r="L7" s="58" t="s">
        <v>34</v>
      </c>
      <c r="M7" s="59" t="s">
        <v>34</v>
      </c>
      <c r="N7" s="60" t="s">
        <v>34</v>
      </c>
      <c r="O7" s="50"/>
      <c r="P7" s="526" t="s">
        <v>34</v>
      </c>
      <c r="Q7" s="50" t="s">
        <v>34</v>
      </c>
      <c r="R7" s="61" t="s">
        <v>34</v>
      </c>
      <c r="S7" s="62" t="s">
        <v>34</v>
      </c>
      <c r="T7" s="63"/>
      <c r="U7" s="64"/>
      <c r="V7" s="50"/>
      <c r="W7" s="60"/>
      <c r="X7" s="50"/>
      <c r="Y7" s="60"/>
      <c r="Z7" s="65"/>
      <c r="AA7" s="63" t="s">
        <v>34</v>
      </c>
      <c r="AB7" s="66"/>
      <c r="AC7" s="50"/>
      <c r="AD7" s="67" t="s">
        <v>34</v>
      </c>
      <c r="AE7" s="68"/>
      <c r="AH7" s="413" t="s">
        <v>35</v>
      </c>
      <c r="AI7" s="534" t="s">
        <v>36</v>
      </c>
    </row>
    <row r="8" spans="1:37" ht="20.100000000000001" customHeight="1" thickBot="1" x14ac:dyDescent="0.3">
      <c r="A8" s="431" t="s">
        <v>43</v>
      </c>
      <c r="B8" s="528" t="s">
        <v>44</v>
      </c>
      <c r="C8" s="70"/>
      <c r="D8" s="97" t="s">
        <v>42</v>
      </c>
      <c r="E8" s="71"/>
      <c r="F8" s="53" t="s">
        <v>38</v>
      </c>
      <c r="G8" s="522" t="s">
        <v>45</v>
      </c>
      <c r="H8" s="55"/>
      <c r="I8" s="72"/>
      <c r="J8" s="525" t="s">
        <v>38</v>
      </c>
      <c r="K8" s="57"/>
      <c r="L8" s="74"/>
      <c r="M8" s="59"/>
      <c r="N8" s="60"/>
      <c r="O8" s="50"/>
      <c r="P8" s="60"/>
      <c r="Q8" s="50"/>
      <c r="R8" s="523"/>
      <c r="S8" s="62"/>
      <c r="T8" s="63"/>
      <c r="U8" s="64"/>
      <c r="V8" s="50"/>
      <c r="W8" s="60"/>
      <c r="X8" s="50"/>
      <c r="Y8" s="60"/>
      <c r="Z8" s="75"/>
      <c r="AA8" s="76"/>
      <c r="AB8" s="66"/>
      <c r="AC8" s="50"/>
      <c r="AD8" s="67"/>
      <c r="AE8" s="68"/>
      <c r="AH8" s="412" t="s">
        <v>83</v>
      </c>
      <c r="AI8" s="535" t="s">
        <v>84</v>
      </c>
    </row>
    <row r="9" spans="1:37" ht="20.100000000000001" customHeight="1" thickTop="1" x14ac:dyDescent="0.25">
      <c r="A9" s="432" t="s">
        <v>46</v>
      </c>
      <c r="B9" s="516" t="s">
        <v>47</v>
      </c>
      <c r="C9" s="77"/>
      <c r="D9" s="97" t="s">
        <v>42</v>
      </c>
      <c r="E9" s="79"/>
      <c r="F9" s="80" t="s">
        <v>32</v>
      </c>
      <c r="G9" s="428" t="s">
        <v>33</v>
      </c>
      <c r="H9" s="81" t="s">
        <v>32</v>
      </c>
      <c r="I9" s="72" t="s">
        <v>32</v>
      </c>
      <c r="J9" s="73" t="s">
        <v>32</v>
      </c>
      <c r="K9" s="82" t="s">
        <v>32</v>
      </c>
      <c r="L9" s="83"/>
      <c r="M9" s="84"/>
      <c r="N9" s="218" t="s">
        <v>34</v>
      </c>
      <c r="O9" s="85" t="s">
        <v>34</v>
      </c>
      <c r="P9" s="86"/>
      <c r="Q9" s="85"/>
      <c r="R9" s="87" t="s">
        <v>34</v>
      </c>
      <c r="S9" s="88"/>
      <c r="T9" s="89" t="s">
        <v>34</v>
      </c>
      <c r="U9" s="90" t="s">
        <v>34</v>
      </c>
      <c r="V9" s="85" t="s">
        <v>34</v>
      </c>
      <c r="W9" s="86" t="s">
        <v>34</v>
      </c>
      <c r="X9" s="85" t="s">
        <v>34</v>
      </c>
      <c r="Y9" s="86"/>
      <c r="Z9" s="91"/>
      <c r="AA9" s="89"/>
      <c r="AB9" s="92"/>
      <c r="AC9" s="84" t="s">
        <v>34</v>
      </c>
      <c r="AD9" s="93" t="s">
        <v>34</v>
      </c>
      <c r="AE9" s="511" t="s">
        <v>34</v>
      </c>
      <c r="AH9" s="411" t="s">
        <v>123</v>
      </c>
      <c r="AI9" s="534" t="s">
        <v>124</v>
      </c>
      <c r="AK9" s="95"/>
    </row>
    <row r="10" spans="1:37" ht="20.100000000000001" customHeight="1" x14ac:dyDescent="0.25">
      <c r="A10" s="100" t="s">
        <v>48</v>
      </c>
      <c r="B10" s="518" t="s">
        <v>49</v>
      </c>
      <c r="C10" s="99"/>
      <c r="D10" s="435" t="s">
        <v>50</v>
      </c>
      <c r="E10" s="194"/>
      <c r="F10" s="53" t="s">
        <v>38</v>
      </c>
      <c r="G10" s="54" t="s">
        <v>39</v>
      </c>
      <c r="H10" s="55" t="s">
        <v>38</v>
      </c>
      <c r="I10" s="54" t="s">
        <v>38</v>
      </c>
      <c r="J10" s="98" t="s">
        <v>38</v>
      </c>
      <c r="K10" s="115" t="s">
        <v>38</v>
      </c>
      <c r="L10" s="58" t="s">
        <v>34</v>
      </c>
      <c r="M10" s="59"/>
      <c r="N10" s="60" t="s">
        <v>34</v>
      </c>
      <c r="O10" s="50"/>
      <c r="P10" s="60"/>
      <c r="Q10" s="50"/>
      <c r="R10" s="61"/>
      <c r="S10" s="75"/>
      <c r="T10" s="63" t="s">
        <v>34</v>
      </c>
      <c r="U10" s="64"/>
      <c r="V10" s="471" t="s">
        <v>34</v>
      </c>
      <c r="W10" s="60" t="s">
        <v>34</v>
      </c>
      <c r="X10" s="50"/>
      <c r="Y10" s="265"/>
      <c r="Z10" s="65"/>
      <c r="AA10" s="63"/>
      <c r="AB10" s="66" t="s">
        <v>34</v>
      </c>
      <c r="AC10" s="59" t="s">
        <v>34</v>
      </c>
      <c r="AD10" s="67" t="s">
        <v>34</v>
      </c>
      <c r="AE10" s="68"/>
    </row>
    <row r="11" spans="1:37" ht="18.75" customHeight="1" x14ac:dyDescent="0.25">
      <c r="A11" s="100" t="s">
        <v>51</v>
      </c>
      <c r="B11" s="517" t="s">
        <v>52</v>
      </c>
      <c r="C11" s="102"/>
      <c r="D11" s="435" t="s">
        <v>50</v>
      </c>
      <c r="E11" s="52"/>
      <c r="F11" s="53" t="s">
        <v>38</v>
      </c>
      <c r="G11" s="54" t="s">
        <v>39</v>
      </c>
      <c r="H11" s="55" t="s">
        <v>38</v>
      </c>
      <c r="I11" s="54" t="s">
        <v>38</v>
      </c>
      <c r="J11" s="98" t="s">
        <v>38</v>
      </c>
      <c r="K11" s="57" t="s">
        <v>38</v>
      </c>
      <c r="L11" s="58" t="s">
        <v>34</v>
      </c>
      <c r="M11" s="59"/>
      <c r="N11" s="60" t="s">
        <v>34</v>
      </c>
      <c r="O11" s="50"/>
      <c r="P11" s="60"/>
      <c r="Q11" s="50"/>
      <c r="R11" s="61"/>
      <c r="S11" s="75"/>
      <c r="T11" s="63"/>
      <c r="U11" s="64"/>
      <c r="V11" s="50"/>
      <c r="W11" s="60"/>
      <c r="X11" s="50"/>
      <c r="Y11" s="60"/>
      <c r="Z11" s="65"/>
      <c r="AA11" s="63"/>
      <c r="AB11" s="66"/>
      <c r="AC11" s="50" t="s">
        <v>34</v>
      </c>
      <c r="AD11" s="67"/>
      <c r="AE11" s="68"/>
    </row>
    <row r="12" spans="1:37" ht="18.75" customHeight="1" x14ac:dyDescent="0.25">
      <c r="A12" s="441" t="s">
        <v>53</v>
      </c>
      <c r="B12" s="536" t="s">
        <v>54</v>
      </c>
      <c r="C12" s="50"/>
      <c r="D12" s="435" t="s">
        <v>50</v>
      </c>
      <c r="E12" s="264"/>
      <c r="F12" s="53" t="s">
        <v>38</v>
      </c>
      <c r="G12" s="54" t="s">
        <v>39</v>
      </c>
      <c r="H12" s="55" t="s">
        <v>38</v>
      </c>
      <c r="I12" s="54" t="s">
        <v>38</v>
      </c>
      <c r="J12" s="98" t="s">
        <v>38</v>
      </c>
      <c r="K12" s="57"/>
      <c r="L12" s="58"/>
      <c r="M12" s="59"/>
      <c r="N12" s="60"/>
      <c r="O12" s="50"/>
      <c r="P12" s="60"/>
      <c r="Q12" s="50"/>
      <c r="R12" s="61"/>
      <c r="S12" s="75"/>
      <c r="T12" s="63"/>
      <c r="U12" s="64"/>
      <c r="V12" s="50"/>
      <c r="W12" s="60"/>
      <c r="X12" s="50"/>
      <c r="Y12" s="60"/>
      <c r="Z12" s="65"/>
      <c r="AA12" s="63" t="s">
        <v>34</v>
      </c>
      <c r="AB12" s="66"/>
      <c r="AC12" s="50"/>
      <c r="AD12" s="67"/>
      <c r="AE12" s="68" t="s">
        <v>34</v>
      </c>
    </row>
    <row r="13" spans="1:37" ht="18.75" customHeight="1" x14ac:dyDescent="0.25">
      <c r="A13" s="442" t="s">
        <v>55</v>
      </c>
      <c r="B13" s="517" t="s">
        <v>56</v>
      </c>
      <c r="C13" s="50"/>
      <c r="D13" s="435" t="s">
        <v>50</v>
      </c>
      <c r="E13" s="107"/>
      <c r="F13" s="53" t="s">
        <v>38</v>
      </c>
      <c r="G13" s="72" t="s">
        <v>39</v>
      </c>
      <c r="H13" s="55"/>
      <c r="I13" s="54"/>
      <c r="J13" s="98"/>
      <c r="K13" s="465" t="s">
        <v>38</v>
      </c>
      <c r="L13" s="58"/>
      <c r="M13" s="59"/>
      <c r="N13" s="60"/>
      <c r="O13" s="50"/>
      <c r="P13" s="60"/>
      <c r="Q13" s="50"/>
      <c r="R13" s="61"/>
      <c r="S13" s="75"/>
      <c r="T13" s="63"/>
      <c r="U13" s="64"/>
      <c r="V13" s="50"/>
      <c r="W13" s="60"/>
      <c r="X13" s="50"/>
      <c r="Y13" s="60"/>
      <c r="Z13" s="65"/>
      <c r="AA13" s="63"/>
      <c r="AB13" s="66"/>
      <c r="AC13" s="50" t="s">
        <v>34</v>
      </c>
      <c r="AD13" s="67"/>
      <c r="AE13" s="68"/>
    </row>
    <row r="14" spans="1:37" ht="19.5" customHeight="1" x14ac:dyDescent="0.25">
      <c r="A14" s="96" t="s">
        <v>57</v>
      </c>
      <c r="B14" s="515" t="s">
        <v>58</v>
      </c>
      <c r="C14" s="113"/>
      <c r="D14" s="97"/>
      <c r="E14" s="116"/>
      <c r="F14" s="119"/>
      <c r="G14" s="72" t="s">
        <v>39</v>
      </c>
      <c r="H14" s="98"/>
      <c r="I14" s="108"/>
      <c r="J14" s="98" t="s">
        <v>38</v>
      </c>
      <c r="K14" s="115" t="s">
        <v>38</v>
      </c>
      <c r="L14" s="58"/>
      <c r="M14" s="59"/>
      <c r="N14" s="120"/>
      <c r="O14" s="50"/>
      <c r="P14" s="60"/>
      <c r="Q14" s="50"/>
      <c r="R14" s="61"/>
      <c r="S14" s="75"/>
      <c r="T14" s="63" t="s">
        <v>34</v>
      </c>
      <c r="U14" s="64"/>
      <c r="V14" s="50"/>
      <c r="W14" s="60"/>
      <c r="X14" s="50"/>
      <c r="Y14" s="60"/>
      <c r="Z14" s="65"/>
      <c r="AA14" s="63"/>
      <c r="AB14" s="66"/>
      <c r="AC14" s="50"/>
      <c r="AD14" s="67"/>
      <c r="AE14" s="68"/>
    </row>
    <row r="15" spans="1:37" ht="19.5" customHeight="1" x14ac:dyDescent="0.25">
      <c r="A15" s="100" t="s">
        <v>59</v>
      </c>
      <c r="B15" s="517" t="s">
        <v>60</v>
      </c>
      <c r="C15" s="121"/>
      <c r="D15" s="391"/>
      <c r="E15" s="122"/>
      <c r="F15" s="123"/>
      <c r="G15" s="72" t="s">
        <v>38</v>
      </c>
      <c r="H15" s="55"/>
      <c r="I15" s="54"/>
      <c r="J15" s="98"/>
      <c r="K15" s="115"/>
      <c r="L15" s="83"/>
      <c r="M15" s="84"/>
      <c r="N15" s="86"/>
      <c r="O15" s="85"/>
      <c r="P15" s="86"/>
      <c r="Q15" s="85"/>
      <c r="R15" s="87"/>
      <c r="S15" s="88"/>
      <c r="T15" s="89"/>
      <c r="U15" s="90"/>
      <c r="V15" s="85"/>
      <c r="W15" s="86"/>
      <c r="X15" s="85"/>
      <c r="Y15" s="86"/>
      <c r="Z15" s="91"/>
      <c r="AA15" s="89"/>
      <c r="AB15" s="92"/>
      <c r="AC15" s="50"/>
      <c r="AD15" s="93"/>
      <c r="AE15" s="94"/>
    </row>
    <row r="16" spans="1:37" ht="20.100000000000001" customHeight="1" x14ac:dyDescent="0.25">
      <c r="A16" s="100" t="s">
        <v>61</v>
      </c>
      <c r="B16" s="347" t="s">
        <v>62</v>
      </c>
      <c r="C16" s="50"/>
      <c r="D16" s="97"/>
      <c r="E16" s="128" t="s">
        <v>63</v>
      </c>
      <c r="F16" s="53"/>
      <c r="G16" s="54"/>
      <c r="H16" s="55" t="s">
        <v>64</v>
      </c>
      <c r="I16" s="54" t="s">
        <v>64</v>
      </c>
      <c r="J16" s="98"/>
      <c r="K16" s="115"/>
      <c r="L16" s="58"/>
      <c r="M16" s="117"/>
      <c r="N16" s="60"/>
      <c r="O16" s="50"/>
      <c r="P16" s="60"/>
      <c r="Q16" s="50"/>
      <c r="R16" s="61"/>
      <c r="S16" s="75"/>
      <c r="T16" s="63"/>
      <c r="U16" s="64"/>
      <c r="V16" s="50"/>
      <c r="W16" s="60"/>
      <c r="X16" s="50"/>
      <c r="Y16" s="60"/>
      <c r="Z16" s="65"/>
      <c r="AA16" s="63"/>
      <c r="AB16" s="118"/>
      <c r="AC16" s="70"/>
      <c r="AD16" s="67"/>
      <c r="AE16" s="68"/>
    </row>
    <row r="17" spans="1:31" ht="20.100000000000001" customHeight="1" x14ac:dyDescent="0.25">
      <c r="A17" s="96" t="s">
        <v>65</v>
      </c>
      <c r="B17" s="528" t="s">
        <v>66</v>
      </c>
      <c r="C17" s="50"/>
      <c r="D17" s="97"/>
      <c r="E17" s="128" t="s">
        <v>67</v>
      </c>
      <c r="F17" s="119" t="s">
        <v>38</v>
      </c>
      <c r="G17" s="430" t="s">
        <v>39</v>
      </c>
      <c r="H17" s="98"/>
      <c r="I17" s="108"/>
      <c r="J17" s="98"/>
      <c r="K17" s="115"/>
      <c r="L17" s="58"/>
      <c r="M17" s="59"/>
      <c r="N17" s="120"/>
      <c r="O17" s="50"/>
      <c r="P17" s="60"/>
      <c r="Q17" s="50"/>
      <c r="R17" s="61"/>
      <c r="S17" s="75"/>
      <c r="T17" s="63"/>
      <c r="U17" s="64"/>
      <c r="V17" s="50"/>
      <c r="W17" s="60"/>
      <c r="X17" s="50"/>
      <c r="Y17" s="60"/>
      <c r="Z17" s="65"/>
      <c r="AA17" s="63"/>
      <c r="AB17" s="66"/>
      <c r="AC17" s="50"/>
      <c r="AD17" s="67"/>
      <c r="AE17" s="68"/>
    </row>
    <row r="18" spans="1:31" ht="20.100000000000001" customHeight="1" x14ac:dyDescent="0.25">
      <c r="A18" s="96" t="s">
        <v>68</v>
      </c>
      <c r="B18" s="528" t="s">
        <v>69</v>
      </c>
      <c r="C18" s="110"/>
      <c r="D18" s="390"/>
      <c r="E18" s="128" t="s">
        <v>67</v>
      </c>
      <c r="F18" s="123"/>
      <c r="G18" s="430" t="s">
        <v>38</v>
      </c>
      <c r="H18" s="81"/>
      <c r="I18" s="72"/>
      <c r="J18" s="73"/>
      <c r="K18" s="82"/>
      <c r="L18" s="83"/>
      <c r="M18" s="84"/>
      <c r="N18" s="86"/>
      <c r="O18" s="85"/>
      <c r="P18" s="86"/>
      <c r="Q18" s="85"/>
      <c r="R18" s="87"/>
      <c r="S18" s="88"/>
      <c r="T18" s="89"/>
      <c r="U18" s="90"/>
      <c r="V18" s="85"/>
      <c r="W18" s="86"/>
      <c r="X18" s="85"/>
      <c r="Y18" s="86"/>
      <c r="Z18" s="88"/>
      <c r="AA18" s="124"/>
      <c r="AB18" s="125"/>
      <c r="AC18" s="126"/>
      <c r="AD18" s="125"/>
      <c r="AE18" s="127"/>
    </row>
    <row r="19" spans="1:31" ht="20.100000000000001" customHeight="1" x14ac:dyDescent="0.25">
      <c r="A19" s="100" t="s">
        <v>70</v>
      </c>
      <c r="B19" s="517" t="s">
        <v>71</v>
      </c>
      <c r="C19" s="85"/>
      <c r="D19" s="389"/>
      <c r="E19" s="128" t="s">
        <v>67</v>
      </c>
      <c r="F19" s="123"/>
      <c r="G19" s="72"/>
      <c r="H19" s="81"/>
      <c r="I19" s="72"/>
      <c r="J19" s="73"/>
      <c r="K19" s="82"/>
      <c r="L19" s="83"/>
      <c r="M19" s="84"/>
      <c r="N19" s="86"/>
      <c r="O19" s="85"/>
      <c r="P19" s="86"/>
      <c r="Q19" s="85"/>
      <c r="R19" s="87"/>
      <c r="S19" s="88"/>
      <c r="T19" s="89"/>
      <c r="U19" s="90"/>
      <c r="V19" s="85"/>
      <c r="W19" s="86"/>
      <c r="X19" s="85"/>
      <c r="Y19" s="86"/>
      <c r="Z19" s="88"/>
      <c r="AA19" s="129"/>
      <c r="AB19" s="92"/>
      <c r="AC19" s="50"/>
      <c r="AD19" s="93"/>
      <c r="AE19" s="94"/>
    </row>
    <row r="20" spans="1:31" ht="20.100000000000001" customHeight="1" x14ac:dyDescent="0.25">
      <c r="A20" s="96" t="s">
        <v>72</v>
      </c>
      <c r="B20" s="528" t="s">
        <v>73</v>
      </c>
      <c r="C20" s="85"/>
      <c r="D20" s="389"/>
      <c r="E20" s="423" t="s">
        <v>74</v>
      </c>
      <c r="F20" s="123"/>
      <c r="G20" s="72"/>
      <c r="H20" s="81"/>
      <c r="I20" s="72"/>
      <c r="J20" s="73"/>
      <c r="K20" s="82"/>
      <c r="L20" s="83"/>
      <c r="M20" s="84"/>
      <c r="N20" s="86"/>
      <c r="O20" s="85"/>
      <c r="P20" s="86"/>
      <c r="Q20" s="85"/>
      <c r="R20" s="87"/>
      <c r="S20" s="88"/>
      <c r="T20" s="89"/>
      <c r="U20" s="90"/>
      <c r="V20" s="85"/>
      <c r="W20" s="86"/>
      <c r="X20" s="85"/>
      <c r="Y20" s="86"/>
      <c r="Z20" s="88"/>
      <c r="AA20" s="129"/>
      <c r="AB20" s="92"/>
      <c r="AC20" s="50"/>
      <c r="AD20" s="93"/>
      <c r="AE20" s="94"/>
    </row>
    <row r="21" spans="1:31" ht="20.100000000000001" customHeight="1" x14ac:dyDescent="0.25">
      <c r="A21" s="96" t="s">
        <v>75</v>
      </c>
      <c r="B21" s="515" t="s">
        <v>76</v>
      </c>
      <c r="C21" s="70"/>
      <c r="D21" s="435" t="s">
        <v>50</v>
      </c>
      <c r="E21" s="107"/>
      <c r="F21" s="132" t="s">
        <v>77</v>
      </c>
      <c r="G21" s="133" t="s">
        <v>78</v>
      </c>
      <c r="H21" s="133" t="s">
        <v>77</v>
      </c>
      <c r="I21" s="133" t="s">
        <v>77</v>
      </c>
      <c r="J21" s="134"/>
      <c r="K21" s="134"/>
      <c r="L21" s="135"/>
      <c r="M21" s="136"/>
      <c r="N21" s="137"/>
      <c r="O21" s="137"/>
      <c r="P21" s="137"/>
      <c r="Q21" s="137"/>
      <c r="R21" s="138"/>
      <c r="S21" s="138"/>
      <c r="T21" s="139"/>
      <c r="U21" s="136"/>
      <c r="V21" s="137"/>
      <c r="W21" s="137"/>
      <c r="X21" s="137"/>
      <c r="Y21" s="137"/>
      <c r="Z21" s="140"/>
      <c r="AA21" s="139"/>
      <c r="AB21" s="136"/>
      <c r="AC21" s="137"/>
      <c r="AD21" s="141"/>
      <c r="AE21" s="142"/>
    </row>
    <row r="22" spans="1:31" ht="20.100000000000001" customHeight="1" x14ac:dyDescent="0.25">
      <c r="A22" s="96" t="s">
        <v>79</v>
      </c>
      <c r="B22" s="528" t="s">
        <v>80</v>
      </c>
      <c r="C22" s="99"/>
      <c r="D22" s="435"/>
      <c r="E22" s="107"/>
      <c r="F22" s="132" t="s">
        <v>77</v>
      </c>
      <c r="G22" s="133"/>
      <c r="H22" s="133"/>
      <c r="I22" s="133"/>
      <c r="J22" s="134"/>
      <c r="K22" s="134" t="s">
        <v>77</v>
      </c>
      <c r="L22" s="135"/>
      <c r="M22" s="136"/>
      <c r="N22" s="137"/>
      <c r="O22" s="137"/>
      <c r="P22" s="137"/>
      <c r="Q22" s="137"/>
      <c r="R22" s="138"/>
      <c r="S22" s="138"/>
      <c r="T22" s="139"/>
      <c r="U22" s="136"/>
      <c r="V22" s="137"/>
      <c r="W22" s="137"/>
      <c r="X22" s="137"/>
      <c r="Y22" s="137"/>
      <c r="Z22" s="140"/>
      <c r="AA22" s="139"/>
      <c r="AB22" s="136"/>
      <c r="AC22" s="137" t="s">
        <v>34</v>
      </c>
      <c r="AD22" s="141"/>
      <c r="AE22" s="142"/>
    </row>
    <row r="23" spans="1:31" ht="20.100000000000001" customHeight="1" x14ac:dyDescent="0.25">
      <c r="A23" s="418" t="s">
        <v>81</v>
      </c>
      <c r="B23" s="529" t="s">
        <v>82</v>
      </c>
      <c r="C23" s="408"/>
      <c r="D23" s="409"/>
      <c r="E23" s="410"/>
      <c r="F23" s="444" t="s">
        <v>38</v>
      </c>
      <c r="G23" s="455" t="s">
        <v>39</v>
      </c>
      <c r="H23" s="445" t="s">
        <v>38</v>
      </c>
      <c r="I23" s="455" t="s">
        <v>38</v>
      </c>
      <c r="J23" s="446"/>
      <c r="K23" s="456"/>
      <c r="L23" s="447"/>
      <c r="M23" s="448"/>
      <c r="N23" s="458"/>
      <c r="O23" s="449"/>
      <c r="P23" s="458"/>
      <c r="Q23" s="449"/>
      <c r="R23" s="459"/>
      <c r="S23" s="450"/>
      <c r="T23" s="451"/>
      <c r="U23" s="460"/>
      <c r="V23" s="449"/>
      <c r="W23" s="458"/>
      <c r="X23" s="449"/>
      <c r="Y23" s="458"/>
      <c r="Z23" s="450"/>
      <c r="AA23" s="452"/>
      <c r="AB23" s="457"/>
      <c r="AC23" s="453"/>
      <c r="AD23" s="457"/>
      <c r="AE23" s="454"/>
    </row>
    <row r="24" spans="1:31" ht="20.100000000000001" customHeight="1" x14ac:dyDescent="0.25">
      <c r="A24" s="412" t="s">
        <v>83</v>
      </c>
      <c r="B24" s="535" t="s">
        <v>84</v>
      </c>
      <c r="C24" s="396"/>
      <c r="D24" s="397" t="s">
        <v>37</v>
      </c>
      <c r="E24" s="398"/>
      <c r="F24" s="244" t="s">
        <v>38</v>
      </c>
      <c r="G24" s="245"/>
      <c r="H24" s="246" t="s">
        <v>38</v>
      </c>
      <c r="I24" s="245" t="s">
        <v>38</v>
      </c>
      <c r="J24" s="247" t="s">
        <v>38</v>
      </c>
      <c r="K24" s="248"/>
      <c r="L24" s="249"/>
      <c r="M24" s="416" t="s">
        <v>34</v>
      </c>
      <c r="N24" s="401"/>
      <c r="O24" s="399"/>
      <c r="P24" s="401"/>
      <c r="Q24" s="399"/>
      <c r="R24" s="417" t="s">
        <v>34</v>
      </c>
      <c r="S24" s="400"/>
      <c r="T24" s="402"/>
      <c r="U24" s="403"/>
      <c r="V24" s="399"/>
      <c r="W24" s="401"/>
      <c r="X24" s="399"/>
      <c r="Y24" s="401"/>
      <c r="Z24" s="400"/>
      <c r="AA24" s="404"/>
      <c r="AB24" s="405"/>
      <c r="AC24" s="399"/>
      <c r="AD24" s="406"/>
      <c r="AE24" s="407"/>
    </row>
    <row r="25" spans="1:31" ht="20.100000000000001" customHeight="1" x14ac:dyDescent="0.25">
      <c r="A25" s="436" t="s">
        <v>85</v>
      </c>
      <c r="B25" s="520" t="s">
        <v>86</v>
      </c>
      <c r="C25" s="149"/>
      <c r="D25" s="97" t="s">
        <v>42</v>
      </c>
      <c r="E25" s="150"/>
      <c r="F25" s="151" t="s">
        <v>38</v>
      </c>
      <c r="G25" s="152" t="s">
        <v>38</v>
      </c>
      <c r="H25" s="153" t="s">
        <v>38</v>
      </c>
      <c r="I25" s="152" t="s">
        <v>38</v>
      </c>
      <c r="J25" s="154" t="s">
        <v>38</v>
      </c>
      <c r="K25" s="155" t="s">
        <v>38</v>
      </c>
      <c r="L25" s="156" t="s">
        <v>34</v>
      </c>
      <c r="M25" s="157" t="s">
        <v>34</v>
      </c>
      <c r="N25" s="158" t="s">
        <v>34</v>
      </c>
      <c r="O25" s="159" t="s">
        <v>34</v>
      </c>
      <c r="P25" s="158" t="s">
        <v>34</v>
      </c>
      <c r="Q25" s="159" t="s">
        <v>34</v>
      </c>
      <c r="R25" s="160" t="s">
        <v>34</v>
      </c>
      <c r="S25" s="161" t="s">
        <v>34</v>
      </c>
      <c r="T25" s="162"/>
      <c r="U25" s="163"/>
      <c r="V25" s="159"/>
      <c r="W25" s="158"/>
      <c r="X25" s="159"/>
      <c r="Y25" s="158"/>
      <c r="Z25" s="164"/>
      <c r="AA25" s="162"/>
      <c r="AB25" s="165"/>
      <c r="AC25" s="166"/>
      <c r="AD25" s="167" t="s">
        <v>34</v>
      </c>
      <c r="AE25" s="168" t="s">
        <v>34</v>
      </c>
    </row>
    <row r="26" spans="1:31" ht="20.100000000000001" customHeight="1" x14ac:dyDescent="0.25">
      <c r="A26" s="437" t="s">
        <v>87</v>
      </c>
      <c r="B26" s="520" t="s">
        <v>88</v>
      </c>
      <c r="C26" s="169"/>
      <c r="D26" s="97" t="s">
        <v>42</v>
      </c>
      <c r="E26" s="512" t="s">
        <v>89</v>
      </c>
      <c r="F26" s="151" t="s">
        <v>38</v>
      </c>
      <c r="G26" s="152" t="s">
        <v>39</v>
      </c>
      <c r="H26" s="153" t="s">
        <v>38</v>
      </c>
      <c r="I26" s="152" t="s">
        <v>38</v>
      </c>
      <c r="J26" s="468" t="s">
        <v>38</v>
      </c>
      <c r="K26" s="422" t="s">
        <v>38</v>
      </c>
      <c r="L26" s="156" t="s">
        <v>34</v>
      </c>
      <c r="M26" s="157" t="s">
        <v>34</v>
      </c>
      <c r="N26" s="158" t="s">
        <v>34</v>
      </c>
      <c r="O26" s="159" t="s">
        <v>34</v>
      </c>
      <c r="P26" s="158" t="s">
        <v>34</v>
      </c>
      <c r="Q26" s="159" t="s">
        <v>34</v>
      </c>
      <c r="R26" s="160"/>
      <c r="S26" s="171"/>
      <c r="T26" s="162"/>
      <c r="U26" s="163"/>
      <c r="V26" s="159"/>
      <c r="W26" s="158"/>
      <c r="X26" s="159"/>
      <c r="Y26" s="158"/>
      <c r="Z26" s="164"/>
      <c r="AA26" s="162"/>
      <c r="AB26" s="172"/>
      <c r="AC26" s="173"/>
      <c r="AD26" s="165" t="s">
        <v>34</v>
      </c>
      <c r="AE26" s="174" t="s">
        <v>34</v>
      </c>
    </row>
    <row r="27" spans="1:31" ht="20.100000000000001" customHeight="1" x14ac:dyDescent="0.25">
      <c r="A27" s="466" t="s">
        <v>90</v>
      </c>
      <c r="B27" s="530" t="s">
        <v>91</v>
      </c>
      <c r="C27" s="175"/>
      <c r="D27" s="392" t="s">
        <v>42</v>
      </c>
      <c r="E27" s="52"/>
      <c r="F27" s="176" t="s">
        <v>32</v>
      </c>
      <c r="G27" s="177" t="s">
        <v>92</v>
      </c>
      <c r="H27" s="178"/>
      <c r="I27" s="177"/>
      <c r="J27" s="179"/>
      <c r="K27" s="177" t="s">
        <v>32</v>
      </c>
      <c r="L27" s="421"/>
      <c r="M27" s="180"/>
      <c r="N27" s="181"/>
      <c r="O27" s="182"/>
      <c r="P27" s="181"/>
      <c r="Q27" s="182"/>
      <c r="R27" s="183"/>
      <c r="S27" s="184"/>
      <c r="T27" s="185"/>
      <c r="U27" s="186"/>
      <c r="V27" s="182"/>
      <c r="W27" s="181"/>
      <c r="X27" s="182"/>
      <c r="Y27" s="181"/>
      <c r="Z27" s="184"/>
      <c r="AA27" s="187"/>
      <c r="AB27" s="188"/>
      <c r="AC27" s="182"/>
      <c r="AD27" s="189"/>
      <c r="AE27" s="190"/>
    </row>
    <row r="28" spans="1:31" ht="20.100000000000001" customHeight="1" x14ac:dyDescent="0.25">
      <c r="A28" s="232" t="s">
        <v>93</v>
      </c>
      <c r="B28" s="517" t="s">
        <v>94</v>
      </c>
      <c r="C28" s="106"/>
      <c r="D28" s="435" t="s">
        <v>50</v>
      </c>
      <c r="E28" s="103"/>
      <c r="F28" s="104"/>
      <c r="G28" s="72" t="s">
        <v>39</v>
      </c>
      <c r="H28" s="55" t="s">
        <v>38</v>
      </c>
      <c r="I28" s="72" t="s">
        <v>38</v>
      </c>
      <c r="J28" s="73" t="s">
        <v>38</v>
      </c>
      <c r="K28" s="82" t="s">
        <v>38</v>
      </c>
      <c r="L28" s="83" t="s">
        <v>34</v>
      </c>
      <c r="M28" s="84"/>
      <c r="N28" s="86"/>
      <c r="O28" s="85"/>
      <c r="P28" s="86"/>
      <c r="Q28" s="85"/>
      <c r="R28" s="87"/>
      <c r="S28" s="88"/>
      <c r="T28" s="63"/>
      <c r="U28" s="90"/>
      <c r="V28" s="85"/>
      <c r="W28" s="86"/>
      <c r="X28" s="85"/>
      <c r="Y28" s="86"/>
      <c r="Z28" s="91"/>
      <c r="AA28" s="89"/>
      <c r="AB28" s="92" t="s">
        <v>34</v>
      </c>
      <c r="AC28" s="70"/>
      <c r="AD28" s="93" t="s">
        <v>34</v>
      </c>
      <c r="AE28" s="94" t="s">
        <v>34</v>
      </c>
    </row>
    <row r="29" spans="1:31" ht="18.75" hidden="1" customHeight="1" x14ac:dyDescent="0.25">
      <c r="A29" s="197"/>
      <c r="B29" s="517"/>
      <c r="C29" s="198"/>
      <c r="D29" s="389"/>
      <c r="E29" s="103"/>
      <c r="F29" s="199"/>
      <c r="G29" s="200"/>
      <c r="H29" s="201"/>
      <c r="I29" s="200"/>
      <c r="J29" s="202"/>
      <c r="K29" s="203"/>
      <c r="L29" s="204"/>
      <c r="M29" s="199"/>
      <c r="N29" s="205"/>
      <c r="O29" s="201"/>
      <c r="P29" s="205"/>
      <c r="Q29" s="201"/>
      <c r="R29" s="206"/>
      <c r="S29" s="202"/>
      <c r="T29" s="207"/>
      <c r="U29" s="208"/>
      <c r="V29" s="201"/>
      <c r="W29" s="205"/>
      <c r="X29" s="201"/>
      <c r="Y29" s="205"/>
      <c r="Z29" s="202"/>
      <c r="AA29" s="209"/>
      <c r="AB29" s="210"/>
      <c r="AC29" s="211"/>
      <c r="AD29" s="212"/>
      <c r="AE29" s="213"/>
    </row>
    <row r="30" spans="1:31" ht="20.100000000000001" customHeight="1" x14ac:dyDescent="0.25">
      <c r="A30" s="214" t="s">
        <v>95</v>
      </c>
      <c r="B30" s="536" t="s">
        <v>96</v>
      </c>
      <c r="C30" s="77"/>
      <c r="D30" s="433" t="s">
        <v>50</v>
      </c>
      <c r="E30" s="216"/>
      <c r="F30" s="80" t="s">
        <v>38</v>
      </c>
      <c r="G30" s="217" t="s">
        <v>39</v>
      </c>
      <c r="H30" s="81" t="s">
        <v>38</v>
      </c>
      <c r="I30" s="72" t="s">
        <v>38</v>
      </c>
      <c r="J30" s="73" t="s">
        <v>38</v>
      </c>
      <c r="K30" s="82"/>
      <c r="L30" s="83"/>
      <c r="M30" s="84"/>
      <c r="N30" s="218"/>
      <c r="O30" s="215"/>
      <c r="P30" s="60" t="s">
        <v>34</v>
      </c>
      <c r="Q30" s="85"/>
      <c r="R30" s="87"/>
      <c r="S30" s="88"/>
      <c r="T30" s="85" t="s">
        <v>34</v>
      </c>
      <c r="U30" s="90"/>
      <c r="V30" s="85" t="s">
        <v>34</v>
      </c>
      <c r="W30" s="86" t="s">
        <v>34</v>
      </c>
      <c r="X30" s="85"/>
      <c r="Y30" s="86"/>
      <c r="Z30" s="91" t="s">
        <v>34</v>
      </c>
      <c r="AA30" s="219" t="s">
        <v>34</v>
      </c>
      <c r="AB30" s="92" t="s">
        <v>34</v>
      </c>
      <c r="AC30" s="84" t="s">
        <v>34</v>
      </c>
      <c r="AD30" s="93" t="s">
        <v>34</v>
      </c>
      <c r="AE30" s="94"/>
    </row>
    <row r="31" spans="1:31" ht="20.100000000000001" customHeight="1" x14ac:dyDescent="0.25">
      <c r="A31" s="214" t="s">
        <v>97</v>
      </c>
      <c r="B31" s="519" t="s">
        <v>98</v>
      </c>
      <c r="C31" s="225"/>
      <c r="D31" s="433" t="s">
        <v>50</v>
      </c>
      <c r="E31" s="220"/>
      <c r="F31" s="81" t="s">
        <v>38</v>
      </c>
      <c r="G31" s="72" t="s">
        <v>39</v>
      </c>
      <c r="H31" s="81"/>
      <c r="I31" s="72"/>
      <c r="J31" s="73"/>
      <c r="K31" s="221" t="s">
        <v>38</v>
      </c>
      <c r="L31" s="83"/>
      <c r="M31" s="84"/>
      <c r="N31" s="86"/>
      <c r="O31" s="85"/>
      <c r="P31" s="86"/>
      <c r="Q31" s="85"/>
      <c r="R31" s="87"/>
      <c r="S31" s="88"/>
      <c r="T31" s="89" t="s">
        <v>34</v>
      </c>
      <c r="U31" s="90" t="s">
        <v>34</v>
      </c>
      <c r="V31" s="85"/>
      <c r="W31" s="86"/>
      <c r="X31" s="85"/>
      <c r="Y31" s="86"/>
      <c r="Z31" s="91" t="s">
        <v>34</v>
      </c>
      <c r="AA31" s="89"/>
      <c r="AB31" s="92"/>
      <c r="AC31" s="84" t="s">
        <v>34</v>
      </c>
      <c r="AD31" s="93"/>
      <c r="AE31" s="94"/>
    </row>
    <row r="32" spans="1:31" ht="19.5" customHeight="1" x14ac:dyDescent="0.25">
      <c r="A32" s="214" t="s">
        <v>99</v>
      </c>
      <c r="B32" s="517" t="s">
        <v>100</v>
      </c>
      <c r="C32" s="77"/>
      <c r="D32" s="389"/>
      <c r="E32" s="220"/>
      <c r="F32" s="222"/>
      <c r="G32" s="72" t="s">
        <v>39</v>
      </c>
      <c r="H32" s="81"/>
      <c r="I32" s="72"/>
      <c r="J32" s="73"/>
      <c r="K32" s="224"/>
      <c r="L32" s="83"/>
      <c r="M32" s="84"/>
      <c r="N32" s="86"/>
      <c r="O32" s="85"/>
      <c r="P32" s="86"/>
      <c r="Q32" s="85"/>
      <c r="R32" s="87"/>
      <c r="S32" s="88"/>
      <c r="T32" s="89"/>
      <c r="U32" s="90"/>
      <c r="V32" s="85"/>
      <c r="W32" s="86"/>
      <c r="X32" s="85"/>
      <c r="Y32" s="86"/>
      <c r="Z32" s="91"/>
      <c r="AA32" s="89"/>
      <c r="AB32" s="92" t="s">
        <v>34</v>
      </c>
      <c r="AC32" s="50" t="s">
        <v>34</v>
      </c>
      <c r="AD32" s="93"/>
      <c r="AE32" s="94"/>
    </row>
    <row r="33" spans="1:31" ht="20.100000000000001" customHeight="1" x14ac:dyDescent="0.25">
      <c r="A33" s="214" t="s">
        <v>101</v>
      </c>
      <c r="B33" s="519" t="s">
        <v>102</v>
      </c>
      <c r="C33" s="225"/>
      <c r="D33" s="389"/>
      <c r="E33" s="220"/>
      <c r="F33" s="81" t="s">
        <v>38</v>
      </c>
      <c r="G33" s="72" t="s">
        <v>39</v>
      </c>
      <c r="H33" s="81" t="s">
        <v>38</v>
      </c>
      <c r="I33" s="72" t="s">
        <v>38</v>
      </c>
      <c r="J33" s="73"/>
      <c r="K33" s="130" t="s">
        <v>38</v>
      </c>
      <c r="L33" s="83"/>
      <c r="M33" s="84"/>
      <c r="N33" s="86"/>
      <c r="O33" s="85"/>
      <c r="P33" s="86" t="s">
        <v>34</v>
      </c>
      <c r="Q33" s="85"/>
      <c r="R33" s="87"/>
      <c r="S33" s="88"/>
      <c r="T33" s="89"/>
      <c r="U33" s="90" t="s">
        <v>34</v>
      </c>
      <c r="V33" s="85"/>
      <c r="W33" s="86"/>
      <c r="X33" s="85"/>
      <c r="Y33" s="86"/>
      <c r="Z33" s="91"/>
      <c r="AA33" s="89"/>
      <c r="AB33" s="131"/>
      <c r="AC33" s="50" t="s">
        <v>34</v>
      </c>
      <c r="AD33" s="93"/>
      <c r="AE33" s="94"/>
    </row>
    <row r="34" spans="1:31" ht="20.100000000000001" customHeight="1" x14ac:dyDescent="0.25">
      <c r="A34" s="214" t="s">
        <v>103</v>
      </c>
      <c r="B34" s="519" t="s">
        <v>104</v>
      </c>
      <c r="C34" s="225"/>
      <c r="D34" s="467" t="s">
        <v>50</v>
      </c>
      <c r="E34" s="220"/>
      <c r="F34" s="80"/>
      <c r="G34" s="72"/>
      <c r="H34" s="81" t="s">
        <v>38</v>
      </c>
      <c r="I34" s="72" t="s">
        <v>38</v>
      </c>
      <c r="J34" s="73"/>
      <c r="K34" s="82" t="s">
        <v>38</v>
      </c>
      <c r="L34" s="83"/>
      <c r="M34" s="84"/>
      <c r="N34" s="86"/>
      <c r="O34" s="85"/>
      <c r="P34" s="86" t="s">
        <v>34</v>
      </c>
      <c r="Q34" s="85"/>
      <c r="R34" s="87"/>
      <c r="S34" s="88"/>
      <c r="T34" s="89"/>
      <c r="U34" s="90"/>
      <c r="V34" s="85"/>
      <c r="W34" s="86"/>
      <c r="X34" s="85"/>
      <c r="Y34" s="86"/>
      <c r="Z34" s="91"/>
      <c r="AA34" s="89" t="s">
        <v>34</v>
      </c>
      <c r="AB34" s="92" t="s">
        <v>34</v>
      </c>
      <c r="AC34" s="70"/>
      <c r="AD34" s="93" t="s">
        <v>34</v>
      </c>
      <c r="AE34" s="94"/>
    </row>
    <row r="35" spans="1:31" ht="20.100000000000001" customHeight="1" x14ac:dyDescent="0.25">
      <c r="A35" s="191" t="s">
        <v>105</v>
      </c>
      <c r="B35" s="528" t="s">
        <v>106</v>
      </c>
      <c r="C35" s="226"/>
      <c r="D35" s="389"/>
      <c r="E35" s="103"/>
      <c r="F35" s="80"/>
      <c r="G35" s="72" t="s">
        <v>39</v>
      </c>
      <c r="H35" s="81"/>
      <c r="I35" s="72"/>
      <c r="J35" s="73"/>
      <c r="K35" s="82"/>
      <c r="L35" s="83"/>
      <c r="M35" s="84"/>
      <c r="N35" s="86"/>
      <c r="O35" s="85"/>
      <c r="P35" s="86"/>
      <c r="Q35" s="85"/>
      <c r="R35" s="87"/>
      <c r="S35" s="88"/>
      <c r="T35" s="89"/>
      <c r="U35" s="90"/>
      <c r="V35" s="85"/>
      <c r="W35" s="86"/>
      <c r="X35" s="85"/>
      <c r="Y35" s="86"/>
      <c r="Z35" s="91"/>
      <c r="AA35" s="89"/>
      <c r="AB35" s="92"/>
      <c r="AC35" s="50"/>
      <c r="AD35" s="93"/>
      <c r="AE35" s="94"/>
    </row>
    <row r="36" spans="1:31" ht="20.100000000000001" customHeight="1" x14ac:dyDescent="0.25">
      <c r="A36" s="191" t="s">
        <v>107</v>
      </c>
      <c r="B36" s="518" t="s">
        <v>108</v>
      </c>
      <c r="C36" s="225"/>
      <c r="D36" s="389"/>
      <c r="E36" s="220"/>
      <c r="F36" s="222" t="s">
        <v>32</v>
      </c>
      <c r="G36" s="430" t="s">
        <v>92</v>
      </c>
      <c r="H36" s="81"/>
      <c r="I36" s="72"/>
      <c r="J36" s="73"/>
      <c r="K36" s="224"/>
      <c r="L36" s="83"/>
      <c r="M36" s="84"/>
      <c r="N36" s="86"/>
      <c r="O36" s="85"/>
      <c r="P36" s="86"/>
      <c r="Q36" s="85"/>
      <c r="R36" s="87"/>
      <c r="S36" s="88"/>
      <c r="T36" s="89"/>
      <c r="U36" s="90"/>
      <c r="V36" s="85"/>
      <c r="W36" s="86"/>
      <c r="X36" s="85"/>
      <c r="Y36" s="86"/>
      <c r="Z36" s="91"/>
      <c r="AA36" s="89"/>
      <c r="AB36" s="92"/>
      <c r="AC36" s="85"/>
      <c r="AD36" s="93"/>
      <c r="AE36" s="94"/>
    </row>
    <row r="37" spans="1:31" ht="20.100000000000001" customHeight="1" x14ac:dyDescent="0.25">
      <c r="A37" s="214" t="s">
        <v>109</v>
      </c>
      <c r="B37" s="347" t="s">
        <v>110</v>
      </c>
      <c r="C37" s="77"/>
      <c r="D37" s="389"/>
      <c r="E37" s="220"/>
      <c r="F37" s="80"/>
      <c r="G37" s="72"/>
      <c r="H37" s="81"/>
      <c r="I37" s="72"/>
      <c r="J37" s="73"/>
      <c r="K37" s="82"/>
      <c r="L37" s="83"/>
      <c r="M37" s="84"/>
      <c r="N37" s="86"/>
      <c r="O37" s="85"/>
      <c r="P37" s="86"/>
      <c r="Q37" s="85"/>
      <c r="R37" s="87"/>
      <c r="S37" s="88"/>
      <c r="T37" s="89"/>
      <c r="U37" s="90"/>
      <c r="V37" s="85"/>
      <c r="W37" s="86"/>
      <c r="X37" s="85"/>
      <c r="Y37" s="86"/>
      <c r="Z37" s="91"/>
      <c r="AA37" s="89"/>
      <c r="AB37" s="92"/>
      <c r="AC37" s="109"/>
      <c r="AD37" s="93"/>
      <c r="AE37" s="94"/>
    </row>
    <row r="38" spans="1:31" ht="20.100000000000001" customHeight="1" x14ac:dyDescent="0.25">
      <c r="A38" s="228" t="s">
        <v>111</v>
      </c>
      <c r="B38" s="518" t="s">
        <v>112</v>
      </c>
      <c r="C38" s="225"/>
      <c r="D38" s="391"/>
      <c r="E38" s="424" t="s">
        <v>113</v>
      </c>
      <c r="F38" s="80"/>
      <c r="G38" s="72"/>
      <c r="H38" s="81"/>
      <c r="I38" s="72"/>
      <c r="J38" s="73"/>
      <c r="K38" s="82" t="s">
        <v>64</v>
      </c>
      <c r="L38" s="83"/>
      <c r="M38" s="84"/>
      <c r="N38" s="86"/>
      <c r="O38" s="85"/>
      <c r="P38" s="86"/>
      <c r="Q38" s="85"/>
      <c r="R38" s="87"/>
      <c r="S38" s="88"/>
      <c r="T38" s="89"/>
      <c r="U38" s="90"/>
      <c r="V38" s="85"/>
      <c r="W38" s="86"/>
      <c r="X38" s="85"/>
      <c r="Y38" s="86"/>
      <c r="Z38" s="91"/>
      <c r="AA38" s="89"/>
      <c r="AB38" s="227"/>
      <c r="AC38" s="85"/>
      <c r="AD38" s="93"/>
      <c r="AE38" s="94"/>
    </row>
    <row r="39" spans="1:31" ht="20.100000000000001" customHeight="1" x14ac:dyDescent="0.25">
      <c r="A39" s="232" t="s">
        <v>114</v>
      </c>
      <c r="B39" s="517" t="s">
        <v>115</v>
      </c>
      <c r="C39" s="77"/>
      <c r="D39" s="389"/>
      <c r="E39" s="220"/>
      <c r="F39" s="80"/>
      <c r="G39" s="72"/>
      <c r="H39" s="81" t="s">
        <v>64</v>
      </c>
      <c r="I39" s="72" t="s">
        <v>64</v>
      </c>
      <c r="J39" s="73"/>
      <c r="K39" s="82"/>
      <c r="L39" s="83"/>
      <c r="M39" s="84"/>
      <c r="N39" s="86"/>
      <c r="O39" s="85"/>
      <c r="P39" s="86"/>
      <c r="Q39" s="85"/>
      <c r="R39" s="87"/>
      <c r="S39" s="88"/>
      <c r="T39" s="89"/>
      <c r="U39" s="90"/>
      <c r="V39" s="85"/>
      <c r="W39" s="86"/>
      <c r="X39" s="85"/>
      <c r="Y39" s="86"/>
      <c r="Z39" s="91"/>
      <c r="AA39" s="89"/>
      <c r="AB39" s="92"/>
      <c r="AC39" s="527" t="s">
        <v>34</v>
      </c>
      <c r="AD39" s="93"/>
      <c r="AE39" s="94"/>
    </row>
    <row r="40" spans="1:31" ht="20.100000000000001" customHeight="1" x14ac:dyDescent="0.25">
      <c r="A40" s="191" t="s">
        <v>116</v>
      </c>
      <c r="B40" s="519" t="s">
        <v>117</v>
      </c>
      <c r="C40" s="193"/>
      <c r="D40" s="435" t="s">
        <v>50</v>
      </c>
      <c r="E40" s="230"/>
      <c r="F40" s="132" t="s">
        <v>77</v>
      </c>
      <c r="G40" s="133" t="s">
        <v>78</v>
      </c>
      <c r="H40" s="133" t="s">
        <v>77</v>
      </c>
      <c r="I40" s="133" t="s">
        <v>77</v>
      </c>
      <c r="J40" s="134" t="s">
        <v>77</v>
      </c>
      <c r="K40" s="134" t="s">
        <v>77</v>
      </c>
      <c r="L40" s="135"/>
      <c r="M40" s="136"/>
      <c r="N40" s="137"/>
      <c r="O40" s="137"/>
      <c r="P40" s="137"/>
      <c r="Q40" s="137"/>
      <c r="R40" s="138"/>
      <c r="S40" s="138"/>
      <c r="T40" s="139"/>
      <c r="U40" s="136"/>
      <c r="V40" s="137"/>
      <c r="W40" s="137"/>
      <c r="X40" s="137"/>
      <c r="Y40" s="137"/>
      <c r="Z40" s="140"/>
      <c r="AA40" s="139"/>
      <c r="AB40" s="136"/>
      <c r="AC40" s="231"/>
      <c r="AD40" s="141"/>
      <c r="AE40" s="142"/>
    </row>
    <row r="41" spans="1:31" ht="19.5" customHeight="1" x14ac:dyDescent="0.25">
      <c r="A41" s="214" t="s">
        <v>118</v>
      </c>
      <c r="B41" s="519" t="s">
        <v>119</v>
      </c>
      <c r="C41" s="215"/>
      <c r="D41" s="435" t="s">
        <v>50</v>
      </c>
      <c r="E41" s="128"/>
      <c r="F41" s="233" t="s">
        <v>77</v>
      </c>
      <c r="G41" s="144" t="s">
        <v>78</v>
      </c>
      <c r="H41" s="144" t="s">
        <v>77</v>
      </c>
      <c r="I41" s="144" t="s">
        <v>77</v>
      </c>
      <c r="J41" s="145" t="s">
        <v>77</v>
      </c>
      <c r="K41" s="234" t="s">
        <v>77</v>
      </c>
      <c r="L41" s="235"/>
      <c r="M41" s="147"/>
      <c r="N41" s="148"/>
      <c r="O41" s="148"/>
      <c r="P41" s="148"/>
      <c r="Q41" s="148"/>
      <c r="R41" s="236"/>
      <c r="S41" s="236"/>
      <c r="T41" s="146"/>
      <c r="U41" s="147"/>
      <c r="V41" s="148"/>
      <c r="W41" s="148"/>
      <c r="X41" s="148"/>
      <c r="Y41" s="148"/>
      <c r="Z41" s="236"/>
      <c r="AA41" s="237"/>
      <c r="AB41" s="238"/>
      <c r="AC41" s="239"/>
      <c r="AD41" s="238"/>
      <c r="AE41" s="240"/>
    </row>
    <row r="42" spans="1:31" ht="19.5" customHeight="1" x14ac:dyDescent="0.25">
      <c r="A42" s="214" t="s">
        <v>120</v>
      </c>
      <c r="B42" s="347" t="s">
        <v>121</v>
      </c>
      <c r="C42" s="225"/>
      <c r="D42" s="391"/>
      <c r="E42" s="424" t="s">
        <v>122</v>
      </c>
      <c r="F42" s="233"/>
      <c r="G42" s="144"/>
      <c r="H42" s="144"/>
      <c r="I42" s="144"/>
      <c r="J42" s="145"/>
      <c r="K42" s="234"/>
      <c r="L42" s="235"/>
      <c r="M42" s="147"/>
      <c r="N42" s="148"/>
      <c r="O42" s="148"/>
      <c r="P42" s="148"/>
      <c r="Q42" s="148"/>
      <c r="R42" s="236"/>
      <c r="S42" s="236"/>
      <c r="T42" s="146"/>
      <c r="U42" s="147"/>
      <c r="V42" s="148"/>
      <c r="W42" s="148"/>
      <c r="X42" s="148"/>
      <c r="Y42" s="148"/>
      <c r="Z42" s="236"/>
      <c r="AA42" s="237"/>
      <c r="AB42" s="238"/>
      <c r="AC42" s="239"/>
      <c r="AD42" s="238"/>
      <c r="AE42" s="240"/>
    </row>
    <row r="43" spans="1:31" ht="20.100000000000001" customHeight="1" x14ac:dyDescent="0.25">
      <c r="A43" s="411" t="s">
        <v>123</v>
      </c>
      <c r="B43" s="534" t="s">
        <v>124</v>
      </c>
      <c r="C43" s="242"/>
      <c r="D43" s="393" t="s">
        <v>37</v>
      </c>
      <c r="E43" s="243"/>
      <c r="F43" s="244" t="s">
        <v>38</v>
      </c>
      <c r="G43" s="245"/>
      <c r="H43" s="246"/>
      <c r="I43" s="245"/>
      <c r="J43" s="247"/>
      <c r="K43" s="415" t="s">
        <v>38</v>
      </c>
      <c r="L43" s="249"/>
      <c r="M43" s="250"/>
      <c r="N43" s="251"/>
      <c r="O43" s="252"/>
      <c r="P43" s="251"/>
      <c r="Q43" s="252"/>
      <c r="R43" s="253"/>
      <c r="S43" s="254"/>
      <c r="T43" s="255"/>
      <c r="U43" s="256"/>
      <c r="V43" s="252"/>
      <c r="W43" s="251"/>
      <c r="X43" s="252"/>
      <c r="Y43" s="251"/>
      <c r="Z43" s="257"/>
      <c r="AA43" s="255"/>
      <c r="AB43" s="258"/>
      <c r="AC43" s="159"/>
      <c r="AD43" s="259"/>
      <c r="AE43" s="395"/>
    </row>
    <row r="44" spans="1:31" ht="20.100000000000001" customHeight="1" x14ac:dyDescent="0.25">
      <c r="A44" s="498" t="s">
        <v>125</v>
      </c>
      <c r="B44" s="537" t="s">
        <v>126</v>
      </c>
      <c r="C44" s="106"/>
      <c r="D44" s="97" t="s">
        <v>42</v>
      </c>
      <c r="E44" s="194"/>
      <c r="F44" s="53" t="s">
        <v>32</v>
      </c>
      <c r="G44" s="54" t="s">
        <v>39</v>
      </c>
      <c r="H44" s="55" t="s">
        <v>38</v>
      </c>
      <c r="I44" s="54" t="s">
        <v>38</v>
      </c>
      <c r="J44" s="532" t="s">
        <v>32</v>
      </c>
      <c r="K44" s="57" t="s">
        <v>32</v>
      </c>
      <c r="L44" s="58" t="s">
        <v>34</v>
      </c>
      <c r="M44" s="59" t="s">
        <v>34</v>
      </c>
      <c r="N44" s="60" t="s">
        <v>34</v>
      </c>
      <c r="O44" s="50" t="s">
        <v>34</v>
      </c>
      <c r="P44" s="60" t="s">
        <v>34</v>
      </c>
      <c r="Q44" s="50" t="s">
        <v>34</v>
      </c>
      <c r="R44" s="61" t="s">
        <v>34</v>
      </c>
      <c r="S44" s="75" t="s">
        <v>34</v>
      </c>
      <c r="T44" s="63" t="s">
        <v>34</v>
      </c>
      <c r="U44" s="64" t="s">
        <v>34</v>
      </c>
      <c r="V44" s="50" t="s">
        <v>34</v>
      </c>
      <c r="W44" s="60" t="s">
        <v>34</v>
      </c>
      <c r="X44" s="50" t="s">
        <v>34</v>
      </c>
      <c r="Y44" s="60" t="s">
        <v>34</v>
      </c>
      <c r="Z44" s="65" t="s">
        <v>34</v>
      </c>
      <c r="AA44" s="63"/>
      <c r="AB44" s="66" t="s">
        <v>34</v>
      </c>
      <c r="AC44" s="50" t="s">
        <v>34</v>
      </c>
      <c r="AD44" s="67" t="s">
        <v>34</v>
      </c>
      <c r="AE44" s="68"/>
    </row>
    <row r="45" spans="1:31" ht="20.100000000000001" customHeight="1" x14ac:dyDescent="0.25">
      <c r="A45" s="439" t="s">
        <v>127</v>
      </c>
      <c r="B45" s="517" t="s">
        <v>128</v>
      </c>
      <c r="C45" s="260"/>
      <c r="D45" s="389" t="s">
        <v>42</v>
      </c>
      <c r="E45" s="52"/>
      <c r="F45" s="80" t="s">
        <v>38</v>
      </c>
      <c r="G45" s="72" t="s">
        <v>38</v>
      </c>
      <c r="H45" s="81" t="s">
        <v>38</v>
      </c>
      <c r="I45" s="72" t="s">
        <v>38</v>
      </c>
      <c r="J45" s="73" t="s">
        <v>38</v>
      </c>
      <c r="K45" s="82" t="s">
        <v>38</v>
      </c>
      <c r="L45" s="261"/>
      <c r="M45" s="84" t="s">
        <v>34</v>
      </c>
      <c r="N45" s="86"/>
      <c r="O45" s="85" t="s">
        <v>34</v>
      </c>
      <c r="P45" s="218" t="s">
        <v>34</v>
      </c>
      <c r="Q45" s="85"/>
      <c r="R45" s="87"/>
      <c r="S45" s="88"/>
      <c r="T45" s="89" t="s">
        <v>34</v>
      </c>
      <c r="U45" s="90"/>
      <c r="V45" s="85" t="s">
        <v>34</v>
      </c>
      <c r="W45" s="86" t="s">
        <v>34</v>
      </c>
      <c r="X45" s="531" t="s">
        <v>34</v>
      </c>
      <c r="Y45" s="86" t="s">
        <v>34</v>
      </c>
      <c r="Z45" s="91" t="s">
        <v>34</v>
      </c>
      <c r="AA45" s="219" t="s">
        <v>34</v>
      </c>
      <c r="AB45" s="92"/>
      <c r="AC45" s="84" t="s">
        <v>34</v>
      </c>
      <c r="AD45" s="93" t="s">
        <v>34</v>
      </c>
      <c r="AE45" s="470" t="s">
        <v>34</v>
      </c>
    </row>
    <row r="46" spans="1:31" ht="20.100000000000001" customHeight="1" x14ac:dyDescent="0.25">
      <c r="A46" s="438" t="s">
        <v>129</v>
      </c>
      <c r="B46" s="515" t="s">
        <v>130</v>
      </c>
      <c r="C46" s="193"/>
      <c r="D46" s="97" t="s">
        <v>42</v>
      </c>
      <c r="E46" s="230"/>
      <c r="F46" s="80" t="s">
        <v>38</v>
      </c>
      <c r="G46" s="72" t="s">
        <v>39</v>
      </c>
      <c r="H46" s="81" t="s">
        <v>38</v>
      </c>
      <c r="I46" s="72" t="s">
        <v>38</v>
      </c>
      <c r="J46" s="73" t="s">
        <v>38</v>
      </c>
      <c r="K46" s="82" t="s">
        <v>38</v>
      </c>
      <c r="L46" s="469" t="s">
        <v>34</v>
      </c>
      <c r="M46" s="84"/>
      <c r="N46" s="86" t="s">
        <v>34</v>
      </c>
      <c r="O46" s="85" t="s">
        <v>34</v>
      </c>
      <c r="P46" s="262"/>
      <c r="Q46" s="85"/>
      <c r="R46" s="87"/>
      <c r="S46" s="88"/>
      <c r="T46" s="89"/>
      <c r="U46" s="90"/>
      <c r="V46" s="85"/>
      <c r="W46" s="86"/>
      <c r="X46" s="85"/>
      <c r="Y46" s="86"/>
      <c r="Z46" s="91"/>
      <c r="AA46" s="219"/>
      <c r="AB46" s="514" t="s">
        <v>34</v>
      </c>
      <c r="AC46" s="84" t="s">
        <v>34</v>
      </c>
      <c r="AD46" s="93"/>
      <c r="AE46" s="470" t="s">
        <v>34</v>
      </c>
    </row>
    <row r="47" spans="1:31" ht="20.100000000000001" customHeight="1" x14ac:dyDescent="0.25">
      <c r="A47" s="266" t="s">
        <v>131</v>
      </c>
      <c r="B47" s="347" t="s">
        <v>132</v>
      </c>
      <c r="C47" s="77"/>
      <c r="D47" s="433" t="s">
        <v>50</v>
      </c>
      <c r="E47" s="194"/>
      <c r="F47" s="53" t="s">
        <v>38</v>
      </c>
      <c r="G47" s="54" t="s">
        <v>39</v>
      </c>
      <c r="H47" s="55" t="s">
        <v>38</v>
      </c>
      <c r="I47" s="54" t="s">
        <v>38</v>
      </c>
      <c r="J47" s="170" t="s">
        <v>38</v>
      </c>
      <c r="K47" s="155" t="s">
        <v>38</v>
      </c>
      <c r="L47" s="58" t="s">
        <v>34</v>
      </c>
      <c r="M47" s="59" t="s">
        <v>34</v>
      </c>
      <c r="N47" s="195" t="s">
        <v>34</v>
      </c>
      <c r="O47" s="50" t="s">
        <v>34</v>
      </c>
      <c r="P47" s="60" t="s">
        <v>34</v>
      </c>
      <c r="Q47" s="50" t="s">
        <v>34</v>
      </c>
      <c r="R47" s="196" t="s">
        <v>34</v>
      </c>
      <c r="S47" s="75" t="s">
        <v>34</v>
      </c>
      <c r="T47" s="63"/>
      <c r="U47" s="64"/>
      <c r="V47" s="50"/>
      <c r="W47" s="60"/>
      <c r="X47" s="50"/>
      <c r="Y47" s="60"/>
      <c r="Z47" s="65"/>
      <c r="AA47" s="63"/>
      <c r="AB47" s="66"/>
      <c r="AC47" s="50" t="s">
        <v>34</v>
      </c>
      <c r="AD47" s="67"/>
      <c r="AE47" s="470" t="s">
        <v>34</v>
      </c>
    </row>
    <row r="48" spans="1:31" ht="20.100000000000001" customHeight="1" x14ac:dyDescent="0.25">
      <c r="A48" s="266" t="s">
        <v>133</v>
      </c>
      <c r="B48" s="347" t="s">
        <v>134</v>
      </c>
      <c r="C48" s="110"/>
      <c r="D48" s="434" t="s">
        <v>50</v>
      </c>
      <c r="E48" s="52"/>
      <c r="F48" s="53"/>
      <c r="G48" s="54" t="s">
        <v>39</v>
      </c>
      <c r="H48" s="55" t="s">
        <v>38</v>
      </c>
      <c r="I48" s="54" t="s">
        <v>38</v>
      </c>
      <c r="J48" s="98"/>
      <c r="K48" s="57"/>
      <c r="L48" s="58" t="s">
        <v>34</v>
      </c>
      <c r="M48" s="59"/>
      <c r="N48" s="60" t="s">
        <v>34</v>
      </c>
      <c r="O48" s="70" t="s">
        <v>34</v>
      </c>
      <c r="P48" s="60" t="s">
        <v>34</v>
      </c>
      <c r="Q48" s="55" t="s">
        <v>34</v>
      </c>
      <c r="R48" s="61"/>
      <c r="S48" s="75"/>
      <c r="T48" s="63"/>
      <c r="U48" s="64"/>
      <c r="V48" s="50"/>
      <c r="W48" s="60"/>
      <c r="X48" s="50"/>
      <c r="Y48" s="60"/>
      <c r="Z48" s="65"/>
      <c r="AA48" s="63"/>
      <c r="AB48" s="66"/>
      <c r="AC48" s="59"/>
      <c r="AD48" s="67" t="s">
        <v>34</v>
      </c>
      <c r="AE48" s="68" t="s">
        <v>34</v>
      </c>
    </row>
    <row r="49" spans="1:43" ht="20.100000000000001" customHeight="1" x14ac:dyDescent="0.25">
      <c r="A49" s="420" t="s">
        <v>135</v>
      </c>
      <c r="B49" s="517" t="s">
        <v>136</v>
      </c>
      <c r="C49" s="241"/>
      <c r="D49" s="435" t="s">
        <v>50</v>
      </c>
      <c r="E49" s="114"/>
      <c r="F49" s="53" t="s">
        <v>38</v>
      </c>
      <c r="G49" s="54" t="s">
        <v>39</v>
      </c>
      <c r="H49" s="55"/>
      <c r="I49" s="54"/>
      <c r="J49" s="468" t="s">
        <v>38</v>
      </c>
      <c r="K49" s="57"/>
      <c r="L49" s="58"/>
      <c r="M49" s="59"/>
      <c r="N49" s="60" t="s">
        <v>34</v>
      </c>
      <c r="O49" s="50"/>
      <c r="P49" s="60"/>
      <c r="Q49" s="50"/>
      <c r="R49" s="61"/>
      <c r="S49" s="75"/>
      <c r="T49" s="63" t="s">
        <v>34</v>
      </c>
      <c r="U49" s="64"/>
      <c r="V49" s="50"/>
      <c r="W49" s="60" t="s">
        <v>34</v>
      </c>
      <c r="X49" s="50"/>
      <c r="Y49" s="60"/>
      <c r="Z49" s="65"/>
      <c r="AA49" s="63"/>
      <c r="AB49" s="118"/>
      <c r="AC49" s="50" t="s">
        <v>34</v>
      </c>
      <c r="AD49" s="67"/>
      <c r="AE49" s="68"/>
    </row>
    <row r="50" spans="1:43" ht="20.100000000000001" customHeight="1" x14ac:dyDescent="0.25">
      <c r="A50" s="263" t="s">
        <v>137</v>
      </c>
      <c r="B50" s="515" t="s">
        <v>138</v>
      </c>
      <c r="C50" s="241"/>
      <c r="D50" s="97"/>
      <c r="E50" s="267"/>
      <c r="F50" s="53" t="s">
        <v>38</v>
      </c>
      <c r="G50" s="72" t="s">
        <v>39</v>
      </c>
      <c r="H50" s="55"/>
      <c r="I50" s="54"/>
      <c r="J50" s="98" t="s">
        <v>38</v>
      </c>
      <c r="K50" s="57" t="s">
        <v>38</v>
      </c>
      <c r="L50" s="58"/>
      <c r="M50" s="59"/>
      <c r="N50" s="60"/>
      <c r="O50" s="50"/>
      <c r="P50" s="60"/>
      <c r="Q50" s="50"/>
      <c r="R50" s="61"/>
      <c r="S50" s="75"/>
      <c r="T50" s="63" t="s">
        <v>34</v>
      </c>
      <c r="U50" s="64"/>
      <c r="V50" s="50"/>
      <c r="W50" s="60" t="s">
        <v>34</v>
      </c>
      <c r="X50" s="50"/>
      <c r="Y50" s="60"/>
      <c r="Z50" s="65"/>
      <c r="AA50" s="63"/>
      <c r="AB50" s="66"/>
      <c r="AC50" s="50"/>
      <c r="AD50" s="268"/>
      <c r="AE50" s="68"/>
    </row>
    <row r="51" spans="1:43" ht="20.100000000000001" customHeight="1" x14ac:dyDescent="0.25">
      <c r="A51" s="266" t="s">
        <v>139</v>
      </c>
      <c r="B51" s="517" t="s">
        <v>140</v>
      </c>
      <c r="C51" s="215"/>
      <c r="D51" s="390"/>
      <c r="E51" s="103"/>
      <c r="F51" s="104"/>
      <c r="G51" s="72" t="s">
        <v>32</v>
      </c>
      <c r="H51" s="81"/>
      <c r="I51" s="72"/>
      <c r="J51" s="73"/>
      <c r="K51" s="82" t="s">
        <v>32</v>
      </c>
      <c r="L51" s="83"/>
      <c r="M51" s="84"/>
      <c r="N51" s="269"/>
      <c r="O51" s="85"/>
      <c r="P51" s="86"/>
      <c r="Q51" s="85"/>
      <c r="R51" s="87"/>
      <c r="S51" s="88"/>
      <c r="T51" s="89"/>
      <c r="U51" s="90"/>
      <c r="V51" s="85"/>
      <c r="W51" s="86"/>
      <c r="X51" s="85"/>
      <c r="Y51" s="86"/>
      <c r="Z51" s="91"/>
      <c r="AA51" s="89"/>
      <c r="AB51" s="92"/>
      <c r="AC51" s="50"/>
      <c r="AD51" s="93"/>
      <c r="AE51" s="94"/>
    </row>
    <row r="52" spans="1:43" ht="20.100000000000001" customHeight="1" x14ac:dyDescent="0.25">
      <c r="A52" s="263" t="s">
        <v>141</v>
      </c>
      <c r="B52" s="518" t="s">
        <v>142</v>
      </c>
      <c r="C52" s="121"/>
      <c r="D52" s="389"/>
      <c r="E52" s="103"/>
      <c r="F52" s="123" t="s">
        <v>64</v>
      </c>
      <c r="G52" s="72"/>
      <c r="H52" s="81"/>
      <c r="I52" s="72" t="s">
        <v>64</v>
      </c>
      <c r="J52" s="78"/>
      <c r="K52" s="221"/>
      <c r="L52" s="83"/>
      <c r="M52" s="84"/>
      <c r="N52" s="86"/>
      <c r="O52" s="85"/>
      <c r="P52" s="86"/>
      <c r="Q52" s="85"/>
      <c r="R52" s="87"/>
      <c r="S52" s="88"/>
      <c r="T52" s="89"/>
      <c r="U52" s="90"/>
      <c r="V52" s="85"/>
      <c r="W52" s="86"/>
      <c r="X52" s="85"/>
      <c r="Y52" s="86"/>
      <c r="Z52" s="91"/>
      <c r="AA52" s="89"/>
      <c r="AB52" s="92"/>
      <c r="AC52" s="50"/>
      <c r="AD52" s="93"/>
      <c r="AE52" s="94"/>
    </row>
    <row r="53" spans="1:43" ht="19.5" customHeight="1" x14ac:dyDescent="0.25">
      <c r="A53" s="419" t="s">
        <v>143</v>
      </c>
      <c r="B53" s="521" t="s">
        <v>144</v>
      </c>
      <c r="C53" s="270"/>
      <c r="D53" s="390"/>
      <c r="E53" s="103"/>
      <c r="F53" s="104"/>
      <c r="G53" s="72"/>
      <c r="H53" s="81"/>
      <c r="I53" s="72"/>
      <c r="J53" s="73"/>
      <c r="K53" s="82"/>
      <c r="L53" s="83"/>
      <c r="M53" s="84"/>
      <c r="N53" s="86"/>
      <c r="O53" s="85"/>
      <c r="P53" s="86"/>
      <c r="Q53" s="85"/>
      <c r="R53" s="87"/>
      <c r="S53" s="88"/>
      <c r="T53" s="89"/>
      <c r="U53" s="90"/>
      <c r="V53" s="85"/>
      <c r="W53" s="86"/>
      <c r="X53" s="85"/>
      <c r="Y53" s="86"/>
      <c r="Z53" s="91"/>
      <c r="AA53" s="89"/>
      <c r="AB53" s="131"/>
      <c r="AC53" s="50"/>
      <c r="AD53" s="93"/>
      <c r="AE53" s="94"/>
    </row>
    <row r="54" spans="1:43" s="272" customFormat="1" ht="19.5" customHeight="1" x14ac:dyDescent="0.25">
      <c r="A54" s="266" t="s">
        <v>145</v>
      </c>
      <c r="B54" s="519" t="s">
        <v>146</v>
      </c>
      <c r="C54" s="85"/>
      <c r="D54" s="390"/>
      <c r="E54" s="425"/>
      <c r="F54" s="123"/>
      <c r="G54" s="72"/>
      <c r="H54" s="81" t="s">
        <v>38</v>
      </c>
      <c r="I54" s="72" t="s">
        <v>38</v>
      </c>
      <c r="J54" s="78"/>
      <c r="K54" s="221"/>
      <c r="L54" s="83"/>
      <c r="M54" s="84"/>
      <c r="N54" s="86"/>
      <c r="O54" s="85"/>
      <c r="P54" s="86"/>
      <c r="Q54" s="85"/>
      <c r="R54" s="87"/>
      <c r="S54" s="88"/>
      <c r="T54" s="89"/>
      <c r="U54" s="90"/>
      <c r="V54" s="85"/>
      <c r="W54" s="86"/>
      <c r="X54" s="85"/>
      <c r="Y54" s="86"/>
      <c r="Z54" s="88"/>
      <c r="AA54" s="129"/>
      <c r="AB54" s="92" t="s">
        <v>34</v>
      </c>
      <c r="AC54" s="70"/>
      <c r="AD54" s="271"/>
      <c r="AE54" s="94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</row>
    <row r="55" spans="1:43" ht="21" customHeight="1" x14ac:dyDescent="0.25">
      <c r="A55" s="266" t="s">
        <v>147</v>
      </c>
      <c r="B55" s="347" t="s">
        <v>148</v>
      </c>
      <c r="C55" s="85"/>
      <c r="D55" s="389"/>
      <c r="E55" s="143"/>
      <c r="F55" s="80"/>
      <c r="G55" s="72"/>
      <c r="H55" s="105"/>
      <c r="I55" s="72"/>
      <c r="J55" s="73"/>
      <c r="K55" s="82"/>
      <c r="L55" s="83"/>
      <c r="M55" s="84"/>
      <c r="N55" s="86"/>
      <c r="O55" s="85"/>
      <c r="P55" s="86"/>
      <c r="Q55" s="85"/>
      <c r="R55" s="87"/>
      <c r="S55" s="88"/>
      <c r="T55" s="89"/>
      <c r="U55" s="90"/>
      <c r="V55" s="85"/>
      <c r="W55" s="86"/>
      <c r="X55" s="85"/>
      <c r="Y55" s="86"/>
      <c r="Z55" s="88"/>
      <c r="AA55" s="129"/>
      <c r="AB55" s="92"/>
      <c r="AC55" s="109"/>
      <c r="AD55" s="93"/>
      <c r="AE55" s="94"/>
    </row>
    <row r="56" spans="1:43" ht="20.100000000000001" customHeight="1" x14ac:dyDescent="0.25">
      <c r="A56" s="266" t="s">
        <v>149</v>
      </c>
      <c r="B56" s="517" t="s">
        <v>150</v>
      </c>
      <c r="C56" s="85"/>
      <c r="D56" s="389"/>
      <c r="E56" s="103"/>
      <c r="F56" s="222" t="s">
        <v>32</v>
      </c>
      <c r="G56" s="223" t="s">
        <v>32</v>
      </c>
      <c r="H56" s="81"/>
      <c r="I56" s="72"/>
      <c r="J56" s="73"/>
      <c r="K56" s="82"/>
      <c r="L56" s="83"/>
      <c r="M56" s="84"/>
      <c r="N56" s="86"/>
      <c r="O56" s="85"/>
      <c r="P56" s="86"/>
      <c r="Q56" s="85"/>
      <c r="R56" s="87"/>
      <c r="S56" s="88"/>
      <c r="T56" s="89"/>
      <c r="U56" s="90"/>
      <c r="V56" s="85"/>
      <c r="W56" s="86"/>
      <c r="X56" s="85"/>
      <c r="Y56" s="86"/>
      <c r="Z56" s="88"/>
      <c r="AA56" s="129"/>
      <c r="AB56" s="92"/>
      <c r="AC56" s="109"/>
      <c r="AD56" s="93"/>
      <c r="AE56" s="94"/>
    </row>
    <row r="57" spans="1:43" ht="20.100000000000001" customHeight="1" x14ac:dyDescent="0.25">
      <c r="A57" s="266" t="s">
        <v>151</v>
      </c>
      <c r="B57" s="347" t="s">
        <v>152</v>
      </c>
      <c r="C57" s="121"/>
      <c r="D57" s="394"/>
      <c r="E57" s="194"/>
      <c r="F57" s="273"/>
      <c r="G57" s="223"/>
      <c r="H57" s="81" t="s">
        <v>64</v>
      </c>
      <c r="I57" s="72"/>
      <c r="J57" s="73"/>
      <c r="K57" s="82"/>
      <c r="L57" s="83"/>
      <c r="M57" s="84"/>
      <c r="N57" s="86"/>
      <c r="O57" s="85"/>
      <c r="P57" s="86"/>
      <c r="Q57" s="85"/>
      <c r="R57" s="87"/>
      <c r="S57" s="88"/>
      <c r="T57" s="89"/>
      <c r="U57" s="90"/>
      <c r="V57" s="85"/>
      <c r="W57" s="86"/>
      <c r="X57" s="85"/>
      <c r="Y57" s="86"/>
      <c r="Z57" s="88"/>
      <c r="AA57" s="129"/>
      <c r="AB57" s="92"/>
      <c r="AC57" s="85"/>
      <c r="AD57" s="93"/>
      <c r="AE57" s="94"/>
    </row>
    <row r="58" spans="1:43" ht="19.5" hidden="1" customHeight="1" x14ac:dyDescent="0.25">
      <c r="A58" s="263"/>
      <c r="B58" s="515"/>
      <c r="C58" s="193"/>
      <c r="D58" s="97"/>
      <c r="E58" s="230"/>
      <c r="F58" s="132"/>
      <c r="G58" s="133"/>
      <c r="H58" s="133"/>
      <c r="I58" s="133"/>
      <c r="J58" s="134"/>
      <c r="K58" s="134"/>
      <c r="L58" s="135"/>
      <c r="M58" s="136"/>
      <c r="N58" s="137"/>
      <c r="O58" s="137"/>
      <c r="P58" s="137"/>
      <c r="Q58" s="137"/>
      <c r="R58" s="138"/>
      <c r="S58" s="138"/>
      <c r="T58" s="139"/>
      <c r="U58" s="136"/>
      <c r="V58" s="137"/>
      <c r="W58" s="137"/>
      <c r="X58" s="137"/>
      <c r="Y58" s="137"/>
      <c r="Z58" s="140"/>
      <c r="AA58" s="139"/>
      <c r="AB58" s="136"/>
      <c r="AC58" s="137"/>
      <c r="AD58" s="141"/>
      <c r="AE58" s="142"/>
    </row>
    <row r="59" spans="1:43" ht="20.100000000000001" customHeight="1" x14ac:dyDescent="0.25">
      <c r="A59" s="263" t="s">
        <v>153</v>
      </c>
      <c r="B59" s="518" t="s">
        <v>154</v>
      </c>
      <c r="C59" s="50"/>
      <c r="D59" s="435" t="s">
        <v>50</v>
      </c>
      <c r="E59" s="427"/>
      <c r="F59" s="132" t="s">
        <v>32</v>
      </c>
      <c r="G59" s="429" t="s">
        <v>33</v>
      </c>
      <c r="H59" s="132" t="s">
        <v>32</v>
      </c>
      <c r="I59" s="132" t="s">
        <v>32</v>
      </c>
      <c r="J59" s="134"/>
      <c r="K59" s="513" t="s">
        <v>32</v>
      </c>
      <c r="L59" s="135"/>
      <c r="M59" s="147"/>
      <c r="N59" s="148"/>
      <c r="O59" s="148"/>
      <c r="P59" s="148"/>
      <c r="Q59" s="148"/>
      <c r="R59" s="236"/>
      <c r="S59" s="236"/>
      <c r="T59" s="146"/>
      <c r="U59" s="147"/>
      <c r="V59" s="148"/>
      <c r="W59" s="148"/>
      <c r="X59" s="148"/>
      <c r="Y59" s="148"/>
      <c r="Z59" s="236"/>
      <c r="AA59" s="237"/>
      <c r="AB59" s="238" t="s">
        <v>34</v>
      </c>
      <c r="AC59" s="276"/>
      <c r="AD59" s="238"/>
      <c r="AE59" s="240"/>
    </row>
    <row r="60" spans="1:43" ht="20.100000000000001" customHeight="1" x14ac:dyDescent="0.25">
      <c r="A60" s="266" t="s">
        <v>155</v>
      </c>
      <c r="B60" s="519" t="s">
        <v>156</v>
      </c>
      <c r="C60" s="110"/>
      <c r="D60" s="433" t="s">
        <v>50</v>
      </c>
      <c r="E60" s="426"/>
      <c r="F60" s="233" t="s">
        <v>77</v>
      </c>
      <c r="G60" s="144" t="s">
        <v>78</v>
      </c>
      <c r="H60" s="144" t="s">
        <v>77</v>
      </c>
      <c r="I60" s="144" t="s">
        <v>77</v>
      </c>
      <c r="J60" s="524" t="s">
        <v>77</v>
      </c>
      <c r="K60" s="145" t="s">
        <v>77</v>
      </c>
      <c r="L60" s="235"/>
      <c r="M60" s="147"/>
      <c r="N60" s="148"/>
      <c r="O60" s="148"/>
      <c r="P60" s="148"/>
      <c r="Q60" s="148"/>
      <c r="R60" s="236"/>
      <c r="S60" s="236"/>
      <c r="T60" s="146"/>
      <c r="U60" s="147"/>
      <c r="V60" s="148"/>
      <c r="W60" s="148"/>
      <c r="X60" s="148"/>
      <c r="Y60" s="148"/>
      <c r="Z60" s="474"/>
      <c r="AA60" s="146"/>
      <c r="AB60" s="147"/>
      <c r="AC60" s="148"/>
      <c r="AD60" s="472"/>
      <c r="AE60" s="473"/>
    </row>
    <row r="61" spans="1:43" ht="20.100000000000001" customHeight="1" x14ac:dyDescent="0.3">
      <c r="A61" s="497"/>
      <c r="B61" s="496"/>
      <c r="C61" s="475"/>
      <c r="D61" s="476"/>
      <c r="E61" s="477"/>
      <c r="F61" s="499"/>
      <c r="G61" s="507"/>
      <c r="H61" s="499"/>
      <c r="I61" s="507"/>
      <c r="J61" s="500"/>
      <c r="K61" s="500"/>
      <c r="L61" s="501"/>
      <c r="M61" s="502"/>
      <c r="N61" s="125"/>
      <c r="O61" s="502"/>
      <c r="P61" s="125"/>
      <c r="Q61" s="502"/>
      <c r="R61" s="510"/>
      <c r="S61" s="503"/>
      <c r="T61" s="504"/>
      <c r="U61" s="508"/>
      <c r="V61" s="502"/>
      <c r="W61" s="125"/>
      <c r="X61" s="502"/>
      <c r="Y61" s="125"/>
      <c r="Z61" s="503"/>
      <c r="AA61" s="505"/>
      <c r="AB61" s="508"/>
      <c r="AC61" s="502"/>
      <c r="AD61" s="509"/>
      <c r="AE61" s="506"/>
    </row>
    <row r="62" spans="1:43" ht="20.100000000000001" customHeight="1" thickBot="1" x14ac:dyDescent="0.3">
      <c r="A62" s="478" t="s">
        <v>157</v>
      </c>
      <c r="B62" s="479" t="s">
        <v>158</v>
      </c>
      <c r="C62" s="480"/>
      <c r="D62" s="481"/>
      <c r="E62" s="482"/>
      <c r="F62" s="483"/>
      <c r="G62" s="484" t="s">
        <v>38</v>
      </c>
      <c r="H62" s="485" t="s">
        <v>38</v>
      </c>
      <c r="I62" s="485" t="s">
        <v>38</v>
      </c>
      <c r="J62" s="486"/>
      <c r="K62" s="486"/>
      <c r="L62" s="487"/>
      <c r="M62" s="488"/>
      <c r="N62" s="489" t="s">
        <v>34</v>
      </c>
      <c r="O62" s="489"/>
      <c r="P62" s="489" t="s">
        <v>34</v>
      </c>
      <c r="Q62" s="489" t="s">
        <v>34</v>
      </c>
      <c r="R62" s="490"/>
      <c r="S62" s="490"/>
      <c r="T62" s="491"/>
      <c r="U62" s="488"/>
      <c r="V62" s="489"/>
      <c r="W62" s="489"/>
      <c r="X62" s="489"/>
      <c r="Y62" s="489"/>
      <c r="Z62" s="490"/>
      <c r="AA62" s="492"/>
      <c r="AB62" s="488"/>
      <c r="AC62" s="493"/>
      <c r="AD62" s="494"/>
      <c r="AE62" s="495"/>
    </row>
    <row r="63" spans="1:43" ht="20.100000000000001" hidden="1" customHeight="1" thickTop="1" x14ac:dyDescent="0.25">
      <c r="A63" s="277"/>
      <c r="B63" s="278"/>
      <c r="C63" s="279"/>
      <c r="D63" s="280"/>
      <c r="E63" s="281"/>
      <c r="F63" s="282"/>
      <c r="G63" s="283"/>
      <c r="H63" s="283"/>
      <c r="I63" s="283"/>
      <c r="J63" s="284"/>
      <c r="K63" s="284"/>
      <c r="L63" s="285"/>
      <c r="M63" s="282"/>
      <c r="N63" s="286"/>
      <c r="O63" s="283"/>
      <c r="P63" s="286"/>
      <c r="Q63" s="283"/>
      <c r="R63" s="287"/>
      <c r="S63" s="284"/>
      <c r="T63" s="288"/>
      <c r="U63" s="289"/>
      <c r="V63" s="283"/>
      <c r="W63" s="286"/>
      <c r="X63" s="283"/>
      <c r="Y63" s="286"/>
      <c r="Z63" s="290"/>
      <c r="AA63" s="288"/>
      <c r="AB63" s="291"/>
      <c r="AC63" s="292"/>
      <c r="AD63" s="293"/>
      <c r="AE63" s="294"/>
    </row>
    <row r="64" spans="1:43" ht="20.100000000000001" hidden="1" customHeight="1" x14ac:dyDescent="0.25">
      <c r="A64" s="295"/>
      <c r="B64" s="192"/>
      <c r="C64" s="56"/>
      <c r="D64" s="111"/>
      <c r="E64" s="103"/>
      <c r="F64" s="296"/>
      <c r="G64" s="201"/>
      <c r="H64" s="201"/>
      <c r="I64" s="201"/>
      <c r="J64" s="202"/>
      <c r="K64" s="202"/>
      <c r="L64" s="204"/>
      <c r="M64" s="199"/>
      <c r="N64" s="205"/>
      <c r="O64" s="201"/>
      <c r="P64" s="205"/>
      <c r="Q64" s="201"/>
      <c r="R64" s="206"/>
      <c r="S64" s="202"/>
      <c r="T64" s="207"/>
      <c r="U64" s="208"/>
      <c r="V64" s="201"/>
      <c r="W64" s="205"/>
      <c r="X64" s="201"/>
      <c r="Y64" s="205"/>
      <c r="Z64" s="297"/>
      <c r="AA64" s="207"/>
      <c r="AB64" s="210"/>
      <c r="AC64" s="211"/>
      <c r="AD64" s="212"/>
      <c r="AE64" s="213"/>
    </row>
    <row r="65" spans="1:31" ht="20.100000000000001" hidden="1" customHeight="1" x14ac:dyDescent="0.25">
      <c r="A65" s="298"/>
      <c r="B65" s="69"/>
      <c r="C65" s="85"/>
      <c r="D65" s="111"/>
      <c r="E65" s="103"/>
      <c r="F65" s="299"/>
      <c r="G65" s="201"/>
      <c r="H65" s="201"/>
      <c r="I65" s="201"/>
      <c r="J65" s="202"/>
      <c r="K65" s="300"/>
      <c r="L65" s="204"/>
      <c r="M65" s="199"/>
      <c r="N65" s="205"/>
      <c r="O65" s="201"/>
      <c r="P65" s="205"/>
      <c r="Q65" s="201"/>
      <c r="R65" s="206"/>
      <c r="S65" s="202"/>
      <c r="T65" s="207"/>
      <c r="U65" s="208"/>
      <c r="V65" s="201"/>
      <c r="W65" s="205"/>
      <c r="X65" s="201"/>
      <c r="Y65" s="205"/>
      <c r="Z65" s="297"/>
      <c r="AA65" s="207"/>
      <c r="AB65" s="210"/>
      <c r="AC65" s="211"/>
      <c r="AD65" s="212"/>
      <c r="AE65" s="213"/>
    </row>
    <row r="66" spans="1:31" ht="20.100000000000001" hidden="1" customHeight="1" x14ac:dyDescent="0.25">
      <c r="A66" s="295"/>
      <c r="B66" s="192"/>
      <c r="C66" s="85"/>
      <c r="D66" s="111"/>
      <c r="E66" s="103"/>
      <c r="F66" s="296"/>
      <c r="G66" s="201"/>
      <c r="H66" s="201"/>
      <c r="I66" s="201"/>
      <c r="J66" s="202"/>
      <c r="K66" s="202"/>
      <c r="L66" s="204"/>
      <c r="M66" s="199"/>
      <c r="N66" s="205"/>
      <c r="O66" s="201"/>
      <c r="P66" s="205"/>
      <c r="Q66" s="201"/>
      <c r="R66" s="206"/>
      <c r="S66" s="202"/>
      <c r="T66" s="207"/>
      <c r="U66" s="208"/>
      <c r="V66" s="201"/>
      <c r="W66" s="205"/>
      <c r="X66" s="201"/>
      <c r="Y66" s="205"/>
      <c r="Z66" s="297"/>
      <c r="AA66" s="207"/>
      <c r="AB66" s="210"/>
      <c r="AC66" s="211"/>
      <c r="AD66" s="212"/>
      <c r="AE66" s="213"/>
    </row>
    <row r="67" spans="1:31" ht="20.100000000000001" hidden="1" customHeight="1" x14ac:dyDescent="0.25">
      <c r="A67" s="298"/>
      <c r="B67" s="69"/>
      <c r="C67" s="301"/>
      <c r="D67" s="51"/>
      <c r="E67" s="230"/>
      <c r="F67" s="302"/>
      <c r="G67" s="303"/>
      <c r="H67" s="303"/>
      <c r="I67" s="303"/>
      <c r="J67" s="304"/>
      <c r="K67" s="304"/>
      <c r="L67" s="305"/>
      <c r="M67" s="302"/>
      <c r="N67" s="303"/>
      <c r="O67" s="303"/>
      <c r="P67" s="303"/>
      <c r="Q67" s="303"/>
      <c r="R67" s="304"/>
      <c r="S67" s="304"/>
      <c r="T67" s="306"/>
      <c r="U67" s="302"/>
      <c r="V67" s="303"/>
      <c r="W67" s="303"/>
      <c r="X67" s="303"/>
      <c r="Y67" s="303"/>
      <c r="Z67" s="307"/>
      <c r="AA67" s="306"/>
      <c r="AB67" s="302"/>
      <c r="AC67" s="303"/>
      <c r="AD67" s="308"/>
      <c r="AE67" s="309"/>
    </row>
    <row r="68" spans="1:31" ht="20.100000000000001" hidden="1" customHeight="1" x14ac:dyDescent="0.25">
      <c r="A68" s="295"/>
      <c r="B68" s="101"/>
      <c r="C68" s="215"/>
      <c r="D68" s="97"/>
      <c r="E68" s="112"/>
      <c r="F68" s="310"/>
      <c r="G68" s="303"/>
      <c r="H68" s="311"/>
      <c r="I68" s="312"/>
      <c r="J68" s="313"/>
      <c r="K68" s="314"/>
      <c r="L68" s="315"/>
      <c r="M68" s="310"/>
      <c r="N68" s="311"/>
      <c r="O68" s="311"/>
      <c r="P68" s="311"/>
      <c r="Q68" s="311"/>
      <c r="R68" s="314"/>
      <c r="S68" s="314"/>
      <c r="T68" s="316"/>
      <c r="U68" s="310"/>
      <c r="V68" s="311"/>
      <c r="W68" s="311"/>
      <c r="X68" s="311"/>
      <c r="Y68" s="311"/>
      <c r="Z68" s="317"/>
      <c r="AA68" s="316"/>
      <c r="AB68" s="310"/>
      <c r="AC68" s="303"/>
      <c r="AD68" s="318"/>
      <c r="AE68" s="319"/>
    </row>
    <row r="69" spans="1:31" ht="20.100000000000001" hidden="1" customHeight="1" x14ac:dyDescent="0.25">
      <c r="A69" s="298"/>
      <c r="B69" s="229"/>
      <c r="C69" s="106"/>
      <c r="D69" s="274"/>
      <c r="E69" s="275"/>
      <c r="F69" s="302"/>
      <c r="G69" s="303"/>
      <c r="H69" s="303"/>
      <c r="I69" s="303"/>
      <c r="J69" s="304"/>
      <c r="K69" s="304"/>
      <c r="L69" s="305"/>
      <c r="M69" s="302"/>
      <c r="N69" s="303"/>
      <c r="O69" s="303"/>
      <c r="P69" s="303"/>
      <c r="Q69" s="303"/>
      <c r="R69" s="304"/>
      <c r="S69" s="304"/>
      <c r="T69" s="306"/>
      <c r="U69" s="302"/>
      <c r="V69" s="303"/>
      <c r="W69" s="303"/>
      <c r="X69" s="303"/>
      <c r="Y69" s="303"/>
      <c r="Z69" s="307"/>
      <c r="AA69" s="306"/>
      <c r="AB69" s="302"/>
      <c r="AC69" s="303"/>
      <c r="AD69" s="308"/>
      <c r="AE69" s="309"/>
    </row>
    <row r="70" spans="1:31" ht="20.100000000000001" hidden="1" customHeight="1" x14ac:dyDescent="0.25">
      <c r="A70" s="295"/>
      <c r="B70" s="192"/>
      <c r="C70" s="320"/>
      <c r="D70" s="321"/>
      <c r="E70" s="322"/>
      <c r="F70" s="310"/>
      <c r="G70" s="311"/>
      <c r="H70" s="311"/>
      <c r="I70" s="311"/>
      <c r="J70" s="314"/>
      <c r="K70" s="314"/>
      <c r="L70" s="315"/>
      <c r="M70" s="310"/>
      <c r="N70" s="311"/>
      <c r="O70" s="311"/>
      <c r="P70" s="311"/>
      <c r="Q70" s="311"/>
      <c r="R70" s="314"/>
      <c r="S70" s="314"/>
      <c r="T70" s="316"/>
      <c r="U70" s="310"/>
      <c r="V70" s="311"/>
      <c r="W70" s="311"/>
      <c r="X70" s="311"/>
      <c r="Y70" s="311"/>
      <c r="Z70" s="317"/>
      <c r="AA70" s="316"/>
      <c r="AB70" s="310"/>
      <c r="AC70" s="311"/>
      <c r="AD70" s="318"/>
      <c r="AE70" s="319"/>
    </row>
    <row r="71" spans="1:31" ht="20.100000000000001" hidden="1" customHeight="1" thickBot="1" x14ac:dyDescent="0.3">
      <c r="A71" s="323"/>
      <c r="B71" s="324"/>
      <c r="C71" s="325"/>
      <c r="D71" s="326"/>
      <c r="E71" s="220"/>
      <c r="F71" s="327"/>
      <c r="G71" s="328"/>
      <c r="H71" s="328"/>
      <c r="I71" s="328"/>
      <c r="J71" s="329"/>
      <c r="K71" s="329"/>
      <c r="L71" s="330"/>
      <c r="M71" s="327"/>
      <c r="N71" s="328"/>
      <c r="O71" s="328"/>
      <c r="P71" s="328"/>
      <c r="Q71" s="328"/>
      <c r="R71" s="329"/>
      <c r="S71" s="329"/>
      <c r="T71" s="331"/>
      <c r="U71" s="327"/>
      <c r="V71" s="328"/>
      <c r="W71" s="328"/>
      <c r="X71" s="328"/>
      <c r="Y71" s="328"/>
      <c r="Z71" s="332"/>
      <c r="AA71" s="331"/>
      <c r="AB71" s="327"/>
      <c r="AC71" s="328"/>
      <c r="AD71" s="333"/>
      <c r="AE71" s="334"/>
    </row>
    <row r="72" spans="1:31" ht="17.25" customHeight="1" thickTop="1" x14ac:dyDescent="0.25">
      <c r="A72" s="461" t="s">
        <v>159</v>
      </c>
      <c r="B72" s="517" t="s">
        <v>160</v>
      </c>
      <c r="C72" s="343"/>
      <c r="D72" s="464"/>
      <c r="E72" s="463" t="s">
        <v>96</v>
      </c>
      <c r="F72" s="336"/>
      <c r="G72" s="336"/>
      <c r="H72" s="336"/>
      <c r="I72" s="336"/>
      <c r="J72" s="336"/>
      <c r="K72" s="336"/>
      <c r="L72" s="336"/>
      <c r="M72" s="336"/>
      <c r="N72" s="336"/>
      <c r="O72" s="336"/>
      <c r="P72" s="336"/>
      <c r="Q72" s="336"/>
      <c r="R72" s="336"/>
      <c r="S72" s="336"/>
      <c r="T72" s="336"/>
      <c r="U72" s="336"/>
      <c r="V72" s="336"/>
      <c r="W72" s="336"/>
      <c r="X72" s="336"/>
      <c r="Y72" s="336"/>
      <c r="Z72" s="336"/>
      <c r="AA72" s="336"/>
      <c r="AB72" s="336"/>
      <c r="AC72" s="336"/>
      <c r="AD72" s="336"/>
      <c r="AE72" s="337"/>
    </row>
    <row r="73" spans="1:31" ht="15.75" customHeight="1" x14ac:dyDescent="0.25">
      <c r="A73" s="461" t="s">
        <v>161</v>
      </c>
      <c r="B73" s="517" t="s">
        <v>162</v>
      </c>
      <c r="C73" s="345"/>
      <c r="D73" s="346"/>
      <c r="E73" s="335" t="s">
        <v>136</v>
      </c>
      <c r="F73" s="339"/>
      <c r="G73" s="340"/>
      <c r="H73" s="340"/>
      <c r="I73" s="340"/>
      <c r="J73" s="340"/>
      <c r="K73" s="340"/>
      <c r="L73" s="340"/>
      <c r="M73" s="340"/>
      <c r="N73" s="340"/>
      <c r="O73" s="340"/>
      <c r="P73" s="340"/>
      <c r="Q73" s="340"/>
      <c r="R73" s="340"/>
      <c r="S73" s="340"/>
      <c r="T73" s="340"/>
      <c r="U73" s="340"/>
      <c r="V73" s="340"/>
      <c r="W73" s="340"/>
      <c r="X73" s="340"/>
      <c r="Y73" s="340"/>
      <c r="Z73" s="340"/>
      <c r="AA73" s="340"/>
      <c r="AB73" s="340"/>
      <c r="AC73" s="340"/>
      <c r="AD73" s="340"/>
      <c r="AE73" s="341"/>
    </row>
    <row r="74" spans="1:31" ht="15.75" customHeight="1" x14ac:dyDescent="0.25">
      <c r="A74" s="461" t="s">
        <v>163</v>
      </c>
      <c r="B74" s="517" t="s">
        <v>164</v>
      </c>
      <c r="C74" s="345"/>
      <c r="D74" s="346"/>
      <c r="E74" s="335"/>
      <c r="F74" s="339"/>
      <c r="G74" s="340"/>
      <c r="H74" s="340"/>
      <c r="I74" s="340"/>
      <c r="J74" s="340"/>
      <c r="K74" s="340"/>
      <c r="L74" s="340"/>
      <c r="M74" s="340"/>
      <c r="N74" s="340"/>
      <c r="O74" s="340"/>
      <c r="P74" s="340"/>
      <c r="Q74" s="340"/>
      <c r="R74" s="340"/>
      <c r="S74" s="340"/>
      <c r="T74" s="340"/>
      <c r="U74" s="340"/>
      <c r="V74" s="340"/>
      <c r="W74" s="340"/>
      <c r="X74" s="340"/>
      <c r="Y74" s="340"/>
      <c r="Z74" s="340"/>
      <c r="AA74" s="340"/>
      <c r="AB74" s="340"/>
      <c r="AC74" s="340"/>
      <c r="AD74" s="340"/>
      <c r="AE74" s="341"/>
    </row>
    <row r="75" spans="1:31" ht="15.75" customHeight="1" x14ac:dyDescent="0.25">
      <c r="A75" s="461" t="s">
        <v>165</v>
      </c>
      <c r="B75" s="517" t="s">
        <v>166</v>
      </c>
      <c r="C75" s="343"/>
      <c r="D75" s="342"/>
      <c r="E75" s="462" t="s">
        <v>94</v>
      </c>
      <c r="F75" s="339"/>
      <c r="G75" s="340"/>
      <c r="H75" s="340"/>
      <c r="I75" s="340"/>
      <c r="J75" s="340"/>
      <c r="K75" s="340"/>
      <c r="L75" s="340"/>
      <c r="M75" s="340"/>
      <c r="N75" s="340"/>
      <c r="O75" s="340"/>
      <c r="P75" s="340"/>
      <c r="Q75" s="340"/>
      <c r="R75" s="340"/>
      <c r="S75" s="340"/>
      <c r="T75" s="340"/>
      <c r="U75" s="340"/>
      <c r="V75" s="340"/>
      <c r="W75" s="340"/>
      <c r="X75" s="340"/>
      <c r="Y75" s="340"/>
      <c r="Z75" s="340"/>
      <c r="AA75" s="340"/>
      <c r="AB75" s="340"/>
      <c r="AC75" s="340"/>
      <c r="AD75" s="340"/>
      <c r="AE75" s="341"/>
    </row>
    <row r="76" spans="1:31" ht="15.75" customHeight="1" x14ac:dyDescent="0.25">
      <c r="A76" s="461" t="s">
        <v>167</v>
      </c>
      <c r="B76" s="517" t="s">
        <v>168</v>
      </c>
      <c r="C76" s="345"/>
      <c r="D76" s="346"/>
      <c r="E76" s="335" t="s">
        <v>98</v>
      </c>
      <c r="F76" s="339"/>
      <c r="G76" s="340"/>
      <c r="H76" s="340"/>
      <c r="I76" s="340"/>
      <c r="J76" s="340"/>
      <c r="K76" s="340"/>
      <c r="L76" s="340"/>
      <c r="M76" s="340"/>
      <c r="N76" s="340"/>
      <c r="O76" s="340"/>
      <c r="P76" s="340"/>
      <c r="Q76" s="340"/>
      <c r="R76" s="340"/>
      <c r="S76" s="340"/>
      <c r="T76" s="340"/>
      <c r="U76" s="340"/>
      <c r="V76" s="340"/>
      <c r="W76" s="340"/>
      <c r="X76" s="340"/>
      <c r="Y76" s="340"/>
      <c r="Z76" s="340"/>
      <c r="AA76" s="340"/>
      <c r="AB76" s="340"/>
      <c r="AC76" s="340"/>
      <c r="AD76" s="340"/>
      <c r="AE76" s="341"/>
    </row>
    <row r="77" spans="1:31" ht="16.5" customHeight="1" x14ac:dyDescent="0.25">
      <c r="A77" s="461" t="s">
        <v>169</v>
      </c>
      <c r="B77" s="517" t="s">
        <v>170</v>
      </c>
      <c r="C77" s="345"/>
      <c r="D77" s="346"/>
      <c r="E77" s="335" t="s">
        <v>41</v>
      </c>
      <c r="F77" s="339"/>
      <c r="G77" s="340"/>
      <c r="H77" s="340"/>
      <c r="I77" s="340"/>
      <c r="J77" s="340"/>
      <c r="K77" s="340"/>
      <c r="L77" s="340"/>
      <c r="M77" s="340"/>
      <c r="N77" s="340"/>
      <c r="O77" s="340"/>
      <c r="P77" s="340"/>
      <c r="Q77" s="340"/>
      <c r="R77" s="340"/>
      <c r="S77" s="340"/>
      <c r="T77" s="340"/>
      <c r="U77" s="340"/>
      <c r="V77" s="340"/>
      <c r="W77" s="340"/>
      <c r="X77" s="340"/>
      <c r="Y77" s="340"/>
      <c r="Z77" s="340"/>
      <c r="AA77" s="340"/>
      <c r="AB77" s="340"/>
      <c r="AC77" s="340"/>
      <c r="AD77" s="340"/>
      <c r="AE77" s="341"/>
    </row>
    <row r="78" spans="1:31" ht="15.75" customHeight="1" x14ac:dyDescent="0.25">
      <c r="A78" s="461" t="s">
        <v>171</v>
      </c>
      <c r="B78" s="347" t="s">
        <v>172</v>
      </c>
      <c r="C78" s="345"/>
      <c r="D78" s="346"/>
      <c r="E78" s="335" t="s">
        <v>49</v>
      </c>
      <c r="F78" s="339"/>
      <c r="G78" s="340"/>
      <c r="H78" s="340"/>
      <c r="I78" s="340"/>
      <c r="J78" s="340"/>
      <c r="K78" s="340"/>
      <c r="L78" s="340"/>
      <c r="M78" s="340"/>
      <c r="N78" s="340"/>
      <c r="O78" s="340"/>
      <c r="P78" s="340"/>
      <c r="Q78" s="340"/>
      <c r="R78" s="340"/>
      <c r="S78" s="340"/>
      <c r="T78" s="340"/>
      <c r="U78" s="340"/>
      <c r="V78" s="340"/>
      <c r="W78" s="340"/>
      <c r="X78" s="340"/>
      <c r="Y78" s="340"/>
      <c r="Z78" s="340"/>
      <c r="AA78" s="340"/>
      <c r="AB78" s="340"/>
      <c r="AC78" s="340"/>
      <c r="AD78" s="340"/>
      <c r="AE78" s="341"/>
    </row>
    <row r="79" spans="1:31" ht="15.75" customHeight="1" x14ac:dyDescent="0.25">
      <c r="A79" s="461" t="s">
        <v>173</v>
      </c>
      <c r="B79" s="517" t="s">
        <v>174</v>
      </c>
      <c r="C79" s="345"/>
      <c r="D79" s="349"/>
      <c r="E79" s="335"/>
      <c r="F79" s="339"/>
      <c r="G79" s="340"/>
      <c r="H79" s="340"/>
      <c r="I79" s="340"/>
      <c r="J79" s="340"/>
      <c r="K79" s="340"/>
      <c r="L79" s="340"/>
      <c r="M79" s="340"/>
      <c r="N79" s="340"/>
      <c r="O79" s="340"/>
      <c r="P79" s="340"/>
      <c r="Q79" s="340"/>
      <c r="R79" s="340"/>
      <c r="S79" s="340"/>
      <c r="T79" s="340"/>
      <c r="U79" s="340"/>
      <c r="V79" s="340"/>
      <c r="W79" s="340"/>
      <c r="X79" s="340"/>
      <c r="Y79" s="340"/>
      <c r="Z79" s="340"/>
      <c r="AA79" s="340"/>
      <c r="AB79" s="340"/>
      <c r="AC79" s="340"/>
      <c r="AD79" s="340"/>
      <c r="AE79" s="341"/>
    </row>
    <row r="80" spans="1:31" ht="16.5" customHeight="1" x14ac:dyDescent="0.25">
      <c r="A80" s="461" t="s">
        <v>175</v>
      </c>
      <c r="B80" s="517" t="s">
        <v>176</v>
      </c>
      <c r="C80" s="348"/>
      <c r="D80" s="349"/>
      <c r="E80" s="335" t="s">
        <v>130</v>
      </c>
      <c r="F80" s="339"/>
      <c r="G80" s="340"/>
      <c r="H80" s="340"/>
      <c r="I80" s="340"/>
      <c r="J80" s="340"/>
      <c r="K80" s="340"/>
      <c r="L80" s="340"/>
      <c r="M80" s="340"/>
      <c r="N80" s="340"/>
      <c r="O80" s="340"/>
      <c r="P80" s="340"/>
      <c r="Q80" s="340"/>
      <c r="R80" s="340"/>
      <c r="S80" s="340"/>
      <c r="T80" s="340"/>
      <c r="U80" s="340"/>
      <c r="V80" s="340"/>
      <c r="W80" s="340"/>
      <c r="X80" s="340"/>
      <c r="Y80" s="340"/>
      <c r="Z80" s="340"/>
      <c r="AA80" s="340"/>
      <c r="AB80" s="340"/>
      <c r="AC80" s="340"/>
      <c r="AD80" s="340"/>
      <c r="AE80" s="341"/>
    </row>
    <row r="81" spans="1:31" ht="16.5" customHeight="1" x14ac:dyDescent="0.25">
      <c r="A81" s="461" t="s">
        <v>177</v>
      </c>
      <c r="B81" s="517" t="s">
        <v>178</v>
      </c>
      <c r="C81" s="343"/>
      <c r="D81" s="342"/>
      <c r="E81" s="335" t="s">
        <v>128</v>
      </c>
      <c r="F81" s="339"/>
      <c r="G81" s="340"/>
      <c r="H81" s="340"/>
      <c r="I81" s="340"/>
      <c r="J81" s="340"/>
      <c r="K81" s="340"/>
      <c r="L81" s="340"/>
      <c r="M81" s="340"/>
      <c r="N81" s="340"/>
      <c r="O81" s="340"/>
      <c r="P81" s="340"/>
      <c r="Q81" s="340"/>
      <c r="R81" s="340"/>
      <c r="S81" s="340"/>
      <c r="T81" s="340"/>
      <c r="U81" s="340"/>
      <c r="V81" s="340"/>
      <c r="W81" s="340"/>
      <c r="X81" s="340"/>
      <c r="Y81" s="340"/>
      <c r="Z81" s="340"/>
      <c r="AA81" s="340"/>
      <c r="AB81" s="340"/>
      <c r="AC81" s="340"/>
      <c r="AD81" s="340"/>
      <c r="AE81" s="341"/>
    </row>
    <row r="82" spans="1:31" ht="16.5" customHeight="1" x14ac:dyDescent="0.25">
      <c r="A82" s="461" t="s">
        <v>179</v>
      </c>
      <c r="B82" s="347" t="s">
        <v>180</v>
      </c>
      <c r="C82" s="345"/>
      <c r="D82" s="350" t="s">
        <v>77</v>
      </c>
      <c r="E82" s="335" t="s">
        <v>80</v>
      </c>
      <c r="F82" s="339"/>
      <c r="G82" s="340"/>
      <c r="H82" s="340"/>
      <c r="I82" s="340"/>
      <c r="J82" s="340"/>
      <c r="K82" s="340"/>
      <c r="L82" s="340"/>
      <c r="M82" s="340"/>
      <c r="N82" s="340"/>
      <c r="O82" s="340"/>
      <c r="P82" s="340"/>
      <c r="Q82" s="340"/>
      <c r="R82" s="340"/>
      <c r="S82" s="340"/>
      <c r="T82" s="340"/>
      <c r="U82" s="340"/>
      <c r="V82" s="340"/>
      <c r="W82" s="340"/>
      <c r="X82" s="340"/>
      <c r="Y82" s="340"/>
      <c r="Z82" s="340"/>
      <c r="AA82" s="340"/>
      <c r="AB82" s="340"/>
      <c r="AC82" s="340"/>
      <c r="AD82" s="340"/>
      <c r="AE82" s="341"/>
    </row>
    <row r="83" spans="1:31" ht="18" customHeight="1" thickBot="1" x14ac:dyDescent="0.3">
      <c r="A83" s="461" t="s">
        <v>181</v>
      </c>
      <c r="B83" s="347" t="s">
        <v>182</v>
      </c>
      <c r="C83" s="345"/>
      <c r="D83" s="350" t="s">
        <v>77</v>
      </c>
      <c r="E83" s="335" t="s">
        <v>117</v>
      </c>
      <c r="F83" s="339"/>
      <c r="G83" s="340"/>
      <c r="H83" s="340"/>
      <c r="I83" s="340"/>
      <c r="J83" s="340"/>
      <c r="K83" s="340"/>
      <c r="L83" s="340"/>
      <c r="M83" s="340"/>
      <c r="N83" s="340"/>
      <c r="O83" s="340"/>
      <c r="P83" s="340"/>
      <c r="Q83" s="340"/>
      <c r="R83" s="340"/>
      <c r="S83" s="340"/>
      <c r="T83" s="340"/>
      <c r="U83" s="340"/>
      <c r="V83" s="340"/>
      <c r="W83" s="340"/>
      <c r="X83" s="340"/>
      <c r="Y83" s="340"/>
      <c r="Z83" s="340"/>
      <c r="AA83" s="340"/>
      <c r="AB83" s="340"/>
      <c r="AC83" s="340"/>
      <c r="AD83" s="340"/>
      <c r="AE83" s="341"/>
    </row>
    <row r="84" spans="1:31" ht="18.95" hidden="1" customHeight="1" x14ac:dyDescent="0.25">
      <c r="A84" s="338"/>
      <c r="B84" s="347"/>
      <c r="C84" s="345"/>
      <c r="D84" s="346"/>
      <c r="E84" s="344"/>
      <c r="F84" s="339"/>
      <c r="G84" s="340"/>
      <c r="H84" s="340"/>
      <c r="I84" s="340"/>
      <c r="J84" s="340"/>
      <c r="K84" s="340"/>
      <c r="L84" s="340"/>
      <c r="M84" s="340"/>
      <c r="N84" s="340"/>
      <c r="O84" s="340"/>
      <c r="P84" s="340"/>
      <c r="Q84" s="340"/>
      <c r="R84" s="340"/>
      <c r="S84" s="340"/>
      <c r="T84" s="340"/>
      <c r="U84" s="340"/>
      <c r="V84" s="340"/>
      <c r="W84" s="340"/>
      <c r="X84" s="340"/>
      <c r="Y84" s="340"/>
      <c r="Z84" s="340"/>
      <c r="AA84" s="340"/>
      <c r="AB84" s="340"/>
      <c r="AC84" s="340"/>
      <c r="AD84" s="340"/>
      <c r="AE84" s="341"/>
    </row>
    <row r="85" spans="1:31" ht="18.95" hidden="1" customHeight="1" x14ac:dyDescent="0.25">
      <c r="A85" s="338"/>
      <c r="B85" s="347"/>
      <c r="C85" s="345"/>
      <c r="D85" s="350"/>
      <c r="E85" s="335"/>
      <c r="F85" s="339"/>
      <c r="G85" s="340"/>
      <c r="H85" s="340"/>
      <c r="I85" s="340"/>
      <c r="J85" s="340"/>
      <c r="K85" s="340"/>
      <c r="L85" s="340"/>
      <c r="M85" s="340"/>
      <c r="N85" s="340"/>
      <c r="O85" s="340"/>
      <c r="P85" s="340"/>
      <c r="Q85" s="340"/>
      <c r="R85" s="340"/>
      <c r="S85" s="340"/>
      <c r="T85" s="340"/>
      <c r="U85" s="340"/>
      <c r="V85" s="340"/>
      <c r="W85" s="340"/>
      <c r="X85" s="340"/>
      <c r="Y85" s="340"/>
      <c r="Z85" s="340"/>
      <c r="AA85" s="340"/>
      <c r="AB85" s="340"/>
      <c r="AC85" s="340"/>
      <c r="AD85" s="340"/>
      <c r="AE85" s="341"/>
    </row>
    <row r="86" spans="1:31" ht="18.95" hidden="1" customHeight="1" thickBot="1" x14ac:dyDescent="0.3">
      <c r="A86" s="338"/>
      <c r="B86" s="347"/>
      <c r="C86" s="351"/>
      <c r="D86" s="352"/>
      <c r="E86" s="335"/>
      <c r="F86" s="353"/>
      <c r="G86" s="354"/>
      <c r="H86" s="354"/>
      <c r="I86" s="354"/>
      <c r="J86" s="354"/>
      <c r="K86" s="354"/>
      <c r="L86" s="354"/>
      <c r="M86" s="354"/>
      <c r="N86" s="354"/>
      <c r="O86" s="354"/>
      <c r="P86" s="354"/>
      <c r="Q86" s="354"/>
      <c r="R86" s="354"/>
      <c r="S86" s="354"/>
      <c r="T86" s="354"/>
      <c r="U86" s="354"/>
      <c r="V86" s="354"/>
      <c r="W86" s="354"/>
      <c r="X86" s="354"/>
      <c r="Y86" s="354"/>
      <c r="Z86" s="354"/>
      <c r="AA86" s="354"/>
      <c r="AB86" s="354"/>
      <c r="AC86" s="354"/>
      <c r="AD86" s="354"/>
      <c r="AE86" s="355"/>
    </row>
    <row r="87" spans="1:31" ht="17.25" thickTop="1" thickBot="1" x14ac:dyDescent="0.3">
      <c r="A87" s="356" t="s">
        <v>183</v>
      </c>
      <c r="B87" s="357"/>
      <c r="C87" s="358"/>
      <c r="D87" s="359"/>
      <c r="E87" s="360" t="s">
        <v>38</v>
      </c>
      <c r="F87" s="361">
        <f t="shared" ref="F87:K87" si="0">COUNTIF(F6:F86,"b1")</f>
        <v>21</v>
      </c>
      <c r="G87" s="361">
        <f t="shared" si="0"/>
        <v>5</v>
      </c>
      <c r="H87" s="361">
        <f t="shared" si="0"/>
        <v>20</v>
      </c>
      <c r="I87" s="361">
        <f t="shared" si="0"/>
        <v>20</v>
      </c>
      <c r="J87" s="361">
        <f t="shared" si="0"/>
        <v>16</v>
      </c>
      <c r="K87" s="361">
        <f t="shared" si="0"/>
        <v>16</v>
      </c>
      <c r="L87" s="361">
        <f t="shared" ref="L87:AE87" si="1">COUNTIF(L6:L86,"x")</f>
        <v>10</v>
      </c>
      <c r="M87" s="361">
        <f t="shared" si="1"/>
        <v>8</v>
      </c>
      <c r="N87" s="361">
        <f t="shared" si="1"/>
        <v>13</v>
      </c>
      <c r="O87" s="361">
        <f t="shared" si="1"/>
        <v>9</v>
      </c>
      <c r="P87" s="361">
        <f t="shared" si="1"/>
        <v>12</v>
      </c>
      <c r="Q87" s="361">
        <f t="shared" si="1"/>
        <v>8</v>
      </c>
      <c r="R87" s="361">
        <f t="shared" si="1"/>
        <v>6</v>
      </c>
      <c r="S87" s="361">
        <f t="shared" si="1"/>
        <v>4</v>
      </c>
      <c r="T87" s="361">
        <f t="shared" si="1"/>
        <v>9</v>
      </c>
      <c r="U87" s="361">
        <f t="shared" si="1"/>
        <v>4</v>
      </c>
      <c r="V87" s="361">
        <f t="shared" si="1"/>
        <v>5</v>
      </c>
      <c r="W87" s="361">
        <f t="shared" si="1"/>
        <v>7</v>
      </c>
      <c r="X87" s="361">
        <f t="shared" si="1"/>
        <v>3</v>
      </c>
      <c r="Y87" s="361">
        <f t="shared" si="1"/>
        <v>2</v>
      </c>
      <c r="Z87" s="361">
        <f t="shared" si="1"/>
        <v>4</v>
      </c>
      <c r="AA87" s="361">
        <f t="shared" si="1"/>
        <v>5</v>
      </c>
      <c r="AB87" s="361">
        <f t="shared" si="1"/>
        <v>9</v>
      </c>
      <c r="AC87" s="361">
        <f t="shared" si="1"/>
        <v>15</v>
      </c>
      <c r="AD87" s="361">
        <f t="shared" si="1"/>
        <v>11</v>
      </c>
      <c r="AE87" s="362">
        <f t="shared" si="1"/>
        <v>9</v>
      </c>
    </row>
    <row r="88" spans="1:31" ht="17.25" thickTop="1" thickBot="1" x14ac:dyDescent="0.3">
      <c r="A88" s="13" t="s">
        <v>184</v>
      </c>
      <c r="B88" s="357">
        <f>COUNTA(B6:B61)</f>
        <v>53</v>
      </c>
      <c r="D88" s="363">
        <f>COUNTIF(D7:D87,"GAS")</f>
        <v>16</v>
      </c>
      <c r="E88" s="364" t="s">
        <v>77</v>
      </c>
      <c r="F88" s="365">
        <f t="shared" ref="F88:K88" si="2">COUNTIF(F6:F86,"b2")</f>
        <v>5</v>
      </c>
      <c r="G88" s="365">
        <f t="shared" si="2"/>
        <v>0</v>
      </c>
      <c r="H88" s="365">
        <f t="shared" si="2"/>
        <v>4</v>
      </c>
      <c r="I88" s="365">
        <f t="shared" si="2"/>
        <v>4</v>
      </c>
      <c r="J88" s="365">
        <f t="shared" si="2"/>
        <v>3</v>
      </c>
      <c r="K88" s="366">
        <f t="shared" si="2"/>
        <v>4</v>
      </c>
    </row>
    <row r="89" spans="1:31" ht="16.5" thickTop="1" thickBot="1" x14ac:dyDescent="0.3">
      <c r="A89" s="367"/>
      <c r="B89" s="368"/>
      <c r="C89" s="369"/>
      <c r="D89" s="370"/>
      <c r="E89" s="371" t="s">
        <v>185</v>
      </c>
      <c r="F89" s="372"/>
      <c r="G89" s="373">
        <f>COUNTIF(G6:G86,"b1 N")</f>
        <v>0</v>
      </c>
      <c r="H89" s="374"/>
      <c r="I89" s="375"/>
      <c r="J89" s="375"/>
      <c r="K89" s="376"/>
      <c r="V89" s="556" t="s">
        <v>186</v>
      </c>
      <c r="W89" s="557"/>
      <c r="X89" s="557"/>
      <c r="Y89" s="557"/>
      <c r="Z89" s="557"/>
      <c r="AA89" s="557"/>
      <c r="AB89" s="558"/>
      <c r="AC89" s="377"/>
    </row>
    <row r="90" spans="1:31" ht="18.75" thickTop="1" thickBot="1" x14ac:dyDescent="0.35">
      <c r="A90" s="378"/>
      <c r="B90" s="379"/>
      <c r="C90" s="369"/>
      <c r="D90" s="370"/>
      <c r="E90" s="371" t="s">
        <v>187</v>
      </c>
      <c r="F90" s="380"/>
      <c r="G90" s="373">
        <f>COUNTIF(G6:G86,"b2 N")</f>
        <v>0</v>
      </c>
      <c r="H90" s="381"/>
      <c r="I90" s="354"/>
      <c r="J90" s="354"/>
      <c r="K90" s="355"/>
      <c r="V90" s="559">
        <f ca="1">NOW()</f>
        <v>46031.361063425924</v>
      </c>
      <c r="W90" s="560"/>
      <c r="X90" s="560"/>
      <c r="Y90" s="560"/>
      <c r="Z90" s="560"/>
      <c r="AA90" s="560"/>
      <c r="AB90" s="561"/>
      <c r="AC90" s="382"/>
    </row>
    <row r="91" spans="1:31" ht="18.75" thickTop="1" thickBot="1" x14ac:dyDescent="0.35">
      <c r="A91" s="378"/>
      <c r="B91" s="383"/>
      <c r="C91" s="369"/>
      <c r="D91" s="370"/>
      <c r="E91" s="371" t="s">
        <v>32</v>
      </c>
      <c r="F91" s="373">
        <f>COUNTIF(F6:F86,"b1/2")</f>
        <v>6</v>
      </c>
      <c r="G91" s="373">
        <f>COUNTIF(G6:G86,"b1/2")</f>
        <v>2</v>
      </c>
      <c r="H91" s="373">
        <f>COUNTIF(H6:H86,"b1/2")</f>
        <v>2</v>
      </c>
      <c r="I91" s="373">
        <f>COUNTIF(I7:I86,"b1/2")</f>
        <v>2</v>
      </c>
      <c r="J91" s="373">
        <f>COUNTIF(J7:J86,"b1/2")</f>
        <v>2</v>
      </c>
      <c r="K91" s="384">
        <f>COUNTIF(K7:K86,"b1/2")</f>
        <v>5</v>
      </c>
      <c r="V91" s="538">
        <f ca="1">NOW()</f>
        <v>46031.361063425924</v>
      </c>
      <c r="W91" s="539"/>
      <c r="X91" s="539"/>
      <c r="Y91" s="539"/>
      <c r="Z91" s="539"/>
      <c r="AA91" s="539"/>
      <c r="AB91" s="540"/>
    </row>
    <row r="92" spans="1:31" ht="16.5" thickTop="1" thickBot="1" x14ac:dyDescent="0.3">
      <c r="E92" s="385" t="s">
        <v>188</v>
      </c>
      <c r="F92" s="373"/>
      <c r="G92" s="373">
        <f>COUNTIF(G7:G87,"b1/2 n")</f>
        <v>0</v>
      </c>
      <c r="H92" s="373"/>
      <c r="I92" s="386"/>
      <c r="J92" s="386"/>
      <c r="K92" s="387"/>
      <c r="L92" s="388"/>
    </row>
    <row r="93" spans="1:31" ht="15.75" thickTop="1" x14ac:dyDescent="0.25"/>
  </sheetData>
  <mergeCells count="29">
    <mergeCell ref="Q3:Q4"/>
    <mergeCell ref="A1:AE1"/>
    <mergeCell ref="B2:E2"/>
    <mergeCell ref="F2:K2"/>
    <mergeCell ref="M2:S2"/>
    <mergeCell ref="T2:Z2"/>
    <mergeCell ref="AA2:AE2"/>
    <mergeCell ref="L3:L4"/>
    <mergeCell ref="M3:M4"/>
    <mergeCell ref="N3:N4"/>
    <mergeCell ref="O3:O4"/>
    <mergeCell ref="P3:P4"/>
    <mergeCell ref="R3:R4"/>
    <mergeCell ref="S3:S4"/>
    <mergeCell ref="T3:T4"/>
    <mergeCell ref="U3:U4"/>
    <mergeCell ref="AD3:AD4"/>
    <mergeCell ref="AE3:AE4"/>
    <mergeCell ref="V89:AB89"/>
    <mergeCell ref="V90:AB90"/>
    <mergeCell ref="AC3:AC4"/>
    <mergeCell ref="V91:AB91"/>
    <mergeCell ref="X3:X4"/>
    <mergeCell ref="Y3:Y4"/>
    <mergeCell ref="Z3:Z4"/>
    <mergeCell ref="AA3:AA4"/>
    <mergeCell ref="AB3:AB4"/>
    <mergeCell ref="W3:W4"/>
    <mergeCell ref="V3:V4"/>
  </mergeCells>
  <printOptions horizontalCentered="1" verticalCentered="1"/>
  <pageMargins left="0.23622047244094491" right="3.937007874015748E-2" top="0.15748031496062992" bottom="0.15748031496062992" header="0" footer="0"/>
  <pageSetup paperSize="9"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3AD5-ACC8-4E15-9327-84C40F9B8FDB}">
  <dimension ref="A1:B9"/>
  <sheetViews>
    <sheetView workbookViewId="0">
      <selection sqref="A1:B9"/>
    </sheetView>
  </sheetViews>
  <sheetFormatPr defaultRowHeight="15" x14ac:dyDescent="0.25"/>
  <cols>
    <col min="1" max="1" width="28.85546875" customWidth="1"/>
  </cols>
  <sheetData>
    <row r="1" spans="1:2" ht="17.25" x14ac:dyDescent="0.25">
      <c r="A1" s="598" t="s">
        <v>189</v>
      </c>
      <c r="B1" s="515" t="s">
        <v>41</v>
      </c>
    </row>
    <row r="2" spans="1:2" ht="17.25" x14ac:dyDescent="0.25">
      <c r="A2" s="598" t="s">
        <v>190</v>
      </c>
      <c r="B2" s="528" t="s">
        <v>44</v>
      </c>
    </row>
    <row r="3" spans="1:2" ht="15.75" x14ac:dyDescent="0.25">
      <c r="A3" s="599" t="s">
        <v>191</v>
      </c>
      <c r="B3" s="516" t="s">
        <v>47</v>
      </c>
    </row>
    <row r="4" spans="1:2" ht="17.25" x14ac:dyDescent="0.25">
      <c r="A4" s="600" t="s">
        <v>192</v>
      </c>
      <c r="B4" s="520" t="s">
        <v>86</v>
      </c>
    </row>
    <row r="5" spans="1:2" ht="17.25" x14ac:dyDescent="0.25">
      <c r="A5" s="601" t="s">
        <v>193</v>
      </c>
      <c r="B5" s="520" t="s">
        <v>88</v>
      </c>
    </row>
    <row r="6" spans="1:2" ht="17.25" x14ac:dyDescent="0.25">
      <c r="A6" s="602" t="s">
        <v>194</v>
      </c>
      <c r="B6" s="530" t="s">
        <v>91</v>
      </c>
    </row>
    <row r="7" spans="1:2" ht="17.25" x14ac:dyDescent="0.25">
      <c r="A7" s="603" t="s">
        <v>195</v>
      </c>
      <c r="B7" s="537" t="s">
        <v>126</v>
      </c>
    </row>
    <row r="8" spans="1:2" ht="17.25" x14ac:dyDescent="0.25">
      <c r="A8" s="604" t="s">
        <v>196</v>
      </c>
      <c r="B8" s="517" t="s">
        <v>128</v>
      </c>
    </row>
    <row r="9" spans="1:2" ht="17.25" x14ac:dyDescent="0.25">
      <c r="A9" s="605" t="s">
        <v>197</v>
      </c>
      <c r="B9" s="515" t="s">
        <v>130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65CEE224737B42AA8DF2760B6CC8F7" ma:contentTypeVersion="3" ma:contentTypeDescription="Create a new document." ma:contentTypeScope="" ma:versionID="8ade650f3b95ebce5cb83b483eaff25d">
  <xsd:schema xmlns:xsd="http://www.w3.org/2001/XMLSchema" xmlns:xs="http://www.w3.org/2001/XMLSchema" xmlns:p="http://schemas.microsoft.com/office/2006/metadata/properties" xmlns:ns2="17e86664-efe1-46e5-82cd-c15a937c5663" targetNamespace="http://schemas.microsoft.com/office/2006/metadata/properties" ma:root="true" ma:fieldsID="a5c464fc0975b5786c99130adf644aa7" ns2:_="">
    <xsd:import namespace="17e86664-efe1-46e5-82cd-c15a937c56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6664-efe1-46e5-82cd-c15a937c5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332CF9-F0D3-4B59-8ED4-2D793DA615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44D127-CE46-492D-94FA-7D1588670B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e86664-efe1-46e5-82cd-c15a937c56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0E5071-DFA9-4231-BAF5-38117EAB5F1F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2d1c7476-f302-47ca-97a0-972f32671471}" enabled="1" method="Standard" siteId="{72e15514-5be9-46a8-8b0b-af9b1b77b3b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Variante 2</vt:lpstr>
      <vt:lpstr>Sheet1</vt:lpstr>
      <vt:lpstr>'Variante 2'!Print_Area</vt:lpstr>
    </vt:vector>
  </TitlesOfParts>
  <Manager/>
  <Company>Lufthansa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 MEO, MARCO</dc:creator>
  <cp:keywords/>
  <dc:description/>
  <cp:lastModifiedBy>OLIVARES, CRISTIAN</cp:lastModifiedBy>
  <cp:revision/>
  <dcterms:created xsi:type="dcterms:W3CDTF">2025-11-11T20:57:03Z</dcterms:created>
  <dcterms:modified xsi:type="dcterms:W3CDTF">2026-01-09T07:40:05Z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0x0101007B65CEE224737B42AA8DF2760B6CC8F7</vt:lpwstr>
  </property>
</Properties>
</file>